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01_Archetype_Scorecard" sheetId="2" state="visible" r:id="rId2"/>
    <sheet name="02_Target_Size_Bands" sheetId="3" state="visible" r:id="rId3"/>
    <sheet name="03_Operator_Readiness" sheetId="4" state="visible" r:id="rId4"/>
    <sheet name="04_Deal_Pipeline" sheetId="5" state="visible" r:id="rId5"/>
    <sheet name="05_Deal_Scorecard" sheetId="6" state="visible" r:id="rId6"/>
    <sheet name="06_Business_Risk_Diligence" sheetId="7" state="visible" r:id="rId7"/>
    <sheet name="07_Diligence_Memo" sheetId="8" state="visible" r:id="rId8"/>
    <sheet name="08_Time_Budget" sheetId="9" state="visible" r:id="rId9"/>
    <sheet name="09_Decision_Log" sheetId="10" state="visible" r:id="rId10"/>
    <sheet name="10_Ownership_Str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1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F4FF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3" borderId="0" pivotButton="0" quotePrefix="0" xfId="0"/>
    <xf numFmtId="0" fontId="4" fillId="0" borderId="0" pivotButton="0" quotePrefix="0" xfId="0"/>
    <xf numFmtId="0" fontId="6" fillId="4" borderId="0" pivotButton="0" quotePrefix="0" xfId="0"/>
    <xf numFmtId="0" fontId="5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ACQUISITION DECISION SYSTEM</t>
        </is>
      </c>
    </row>
    <row r="2">
      <c r="A2" s="2" t="inlineStr"/>
    </row>
    <row r="3">
      <c r="A3" s="2" t="inlineStr">
        <is>
          <t>Current call: NOT YET — bounded secondary experiment only (max 5 hrs/week).</t>
        </is>
      </c>
    </row>
    <row r="4">
      <c r="A4" s="2" t="inlineStr">
        <is>
          <t>Start here: ACQUISITION/ideal-business-fit.md — operator fit map before any listing search.</t>
        </is>
      </c>
    </row>
    <row r="5">
      <c r="A5" s="2" t="inlineStr"/>
    </row>
    <row r="6">
      <c r="A6" s="3" t="inlineStr">
        <is>
          <t>TAB GUIDE</t>
        </is>
      </c>
    </row>
    <row r="7">
      <c r="A7" s="2" t="inlineStr">
        <is>
          <t>01_Archetype_Scorecard — vertical fit, Fit class (Buy/Conditional/Never), weighted Tier</t>
        </is>
      </c>
    </row>
    <row r="8">
      <c r="A8" s="2" t="inlineStr">
        <is>
          <t>02_Target_Size_Bands — SDE/EBITDA/EV bands and affordability calculator</t>
        </is>
      </c>
    </row>
    <row r="9">
      <c r="A9" s="2" t="inlineStr">
        <is>
          <t>03_Operator_Readiness — financing, runway, willingness gates</t>
        </is>
      </c>
    </row>
    <row r="10">
      <c r="A10" s="2" t="inlineStr">
        <is>
          <t>04_Deal_Pipeline — real listings only</t>
        </is>
      </c>
    </row>
    <row r="11">
      <c r="A11" s="2" t="inlineStr">
        <is>
          <t>05_Deal_Scorecard — per-deal weighted score + Day-to-day litmus gate + Pursue/Watch/Kill</t>
        </is>
      </c>
    </row>
    <row r="12">
      <c r="A12" s="2" t="inlineStr">
        <is>
          <t>06_Business_Risk_Diligence — personnel, ops, customer, revenue quality</t>
        </is>
      </c>
    </row>
    <row r="13">
      <c r="A13" s="2" t="inlineStr">
        <is>
          <t>07_Diligence_Memo — one-page memo template per deal</t>
        </is>
      </c>
    </row>
    <row r="14">
      <c r="A14" s="2" t="inlineStr">
        <is>
          <t>08_Time_Budget — weekly hours across Path A, Path B, acquisition</t>
        </is>
      </c>
    </row>
    <row r="15">
      <c r="A15" s="2" t="inlineStr">
        <is>
          <t>09_Decision_Log — dated pass/kill decisions</t>
        </is>
      </c>
    </row>
    <row r="16">
      <c r="A16" s="2" t="inlineStr">
        <is>
          <t>10_Ownership_Stress — financial stress + profile litmus before Pursue</t>
        </is>
      </c>
    </row>
    <row r="17">
      <c r="A17" s="2" t="inlineStr"/>
    </row>
    <row r="18">
      <c r="A18" s="3" t="inlineStr">
        <is>
          <t>THREE GATES (all required)</t>
        </is>
      </c>
    </row>
    <row r="19">
      <c r="A19" s="2" t="inlineStr">
        <is>
          <t>1. Business you could improve</t>
        </is>
      </c>
    </row>
    <row r="20">
      <c r="A20" s="2" t="inlineStr">
        <is>
          <t>2. Business you could realistically buy</t>
        </is>
      </c>
    </row>
    <row r="21">
      <c r="A21" s="2" t="inlineStr">
        <is>
          <t>3. Business you would operate for 3 years</t>
        </is>
      </c>
    </row>
    <row r="22">
      <c r="A22" s="2" t="inlineStr"/>
    </row>
    <row r="23">
      <c r="A23" s="3" t="inlineStr">
        <is>
          <t>ARCHETYPE VS TIER</t>
        </is>
      </c>
    </row>
    <row r="24">
      <c r="A24" s="2" t="inlineStr">
        <is>
          <t>Archetype = deal shape (SaaS with ops mess, services + workflow, etc.) — see acquisition_archetypes.md</t>
        </is>
      </c>
    </row>
    <row r="25">
      <c r="A25" s="2" t="inlineStr">
        <is>
          <t>Tier = workbook vertical weighted score (Tier 1/2/3). High Tier does NOT override Fit class Never or day-to-day litmus NO.</t>
        </is>
      </c>
    </row>
    <row r="26">
      <c r="A26" s="2" t="inlineStr">
        <is>
          <t>Fit class = operator-fit judgment (Buy / Conditional / Never) — see ideal-business-fit.md</t>
        </is>
      </c>
    </row>
    <row r="27">
      <c r="A27" s="2" t="inlineStr"/>
    </row>
    <row r="28">
      <c r="A28" s="3" t="inlineStr">
        <is>
          <t>DEAL SCORECARD WEIGHTS</t>
        </is>
      </c>
    </row>
    <row r="29">
      <c r="A29" s="2" t="inlineStr">
        <is>
          <t>Operator fit — 25%</t>
        </is>
      </c>
    </row>
    <row r="30">
      <c r="A30" s="2" t="inlineStr">
        <is>
          <t>AI/product leverage — 20%</t>
        </is>
      </c>
    </row>
    <row r="31">
      <c r="A31" s="2" t="inlineStr">
        <is>
          <t>Financial feasibility — 25%</t>
        </is>
      </c>
    </row>
    <row r="32">
      <c r="A32" s="2" t="inlineStr">
        <is>
          <t>Owner dependence / transition — 15%</t>
        </is>
      </c>
    </row>
    <row r="33">
      <c r="A33" s="2" t="inlineStr">
        <is>
          <t>Operating enjoyment — 10%</t>
        </is>
      </c>
    </row>
    <row r="34">
      <c r="A34" s="2" t="inlineStr">
        <is>
          <t>Strategic conflict risk — 5%</t>
        </is>
      </c>
    </row>
    <row r="35">
      <c r="A35" s="2" t="inlineStr"/>
    </row>
    <row r="36">
      <c r="A36" s="2" t="inlineStr">
        <is>
          <t>LABELS: Pursue (score &gt;= 3.5 and gates pass) | Watch (2.5-3.4 or missing data) | Kill (&lt; 2.5 or hard fail)</t>
        </is>
      </c>
    </row>
    <row r="37">
      <c r="A37" s="2" t="inlineStr"/>
    </row>
    <row r="38">
      <c r="A38" s="3" t="inlineStr">
        <is>
          <t>FORMULA APPENDIX (Google Sheets-safe)</t>
        </is>
      </c>
    </row>
    <row r="39">
      <c r="A39" s="2" t="inlineStr">
        <is>
          <t>Weighted total: =SUMPRODUCT(weights, scores) / SUM(weights)</t>
        </is>
      </c>
    </row>
    <row r="40">
      <c r="A40" s="2" t="inlineStr">
        <is>
          <t>Decision label: =IF(AND(score&gt;=3.5, gates="YES"), "Pursue", IF(OR(score&lt;2.5, hardFail="YES"), "Kill", "Watch"))</t>
        </is>
      </c>
    </row>
    <row r="41">
      <c r="A41" s="2" t="inlineStr">
        <is>
          <t>DSCR: =IF(debtService=0, "", normalizedEBITDA/debtService)</t>
        </is>
      </c>
    </row>
    <row r="42">
      <c r="A42" s="2" t="inlineStr">
        <is>
          <t>EV/SDE: =IF(SDE=0, "", askingPrice/SDE)</t>
        </is>
      </c>
    </row>
    <row r="43">
      <c r="A43" s="2" t="inlineStr"/>
    </row>
    <row r="44">
      <c r="A44" s="3" t="inlineStr">
        <is>
          <t>KILL RULES — pause search if:</t>
        </is>
      </c>
    </row>
    <row r="45">
      <c r="A45" s="2" t="inlineStr">
        <is>
          <t>1. Acquisition &gt; 8 hrs/wk for 2 weeks while Path B outbound &lt; 5 hrs/wk</t>
        </is>
      </c>
    </row>
    <row r="46">
      <c r="A46" s="2" t="inlineStr">
        <is>
          <t>2. New domain listing outside ops-AI/logistics (month-5 relapse)</t>
        </is>
      </c>
    </row>
    <row r="47">
      <c r="A47" s="2" t="inlineStr">
        <is>
          <t>3. LOI without financing pre-approval and 12-month runway model</t>
        </is>
      </c>
    </row>
    <row r="48">
      <c r="A48" s="2" t="inlineStr">
        <is>
          <t>4. Deal fails all three gates (improve / buy / operate 3yr)</t>
        </is>
      </c>
    </row>
    <row r="49">
      <c r="A49" s="2" t="inlineStr">
        <is>
          <t>5. Path B offer accepted — acquisition pauses 6 months minimum</t>
        </is>
      </c>
    </row>
    <row r="50">
      <c r="A50" s="2" t="inlineStr">
        <is>
          <t>6. Quotely hits 5+ paying operators — re-evaluate whether acquisition dilutes Path A</t>
        </is>
      </c>
    </row>
    <row r="51">
      <c r="A51" s="2" t="inlineStr"/>
    </row>
    <row r="52">
      <c r="A52" s="2" t="inlineStr">
        <is>
          <t>See ACQUISITION/README.md, ideal-business-fit.md, and ownership-challenges.md for full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  <col width="10" customWidth="1" min="12" max="12"/>
    <col width="20" customWidth="1" min="13" max="13"/>
  </cols>
  <sheetData>
    <row r="1">
      <c r="A1" s="4" t="inlineStr">
        <is>
          <t>Vertical</t>
        </is>
      </c>
      <c r="B1" s="4" t="inlineStr">
        <is>
          <t>Workflow</t>
        </is>
      </c>
      <c r="C1" s="4" t="inlineStr">
        <is>
          <t>Info Arbitrage</t>
        </is>
      </c>
      <c r="D1" s="4" t="inlineStr">
        <is>
          <t>Pricing</t>
        </is>
      </c>
      <c r="E1" s="4" t="inlineStr">
        <is>
          <t>Automation</t>
        </is>
      </c>
      <c r="F1" s="4" t="inlineStr">
        <is>
          <t>Discovery</t>
        </is>
      </c>
      <c r="G1" s="4" t="inlineStr">
        <is>
          <t>Marketplace</t>
        </is>
      </c>
      <c r="H1" s="4" t="inlineStr">
        <is>
          <t>Labor Burden (-)</t>
        </is>
      </c>
      <c r="I1" s="4" t="inlineStr">
        <is>
          <t>Sales Hero (-)</t>
        </is>
      </c>
      <c r="J1" s="4" t="inlineStr">
        <is>
          <t>Weighted Score</t>
        </is>
      </c>
      <c r="K1" s="4" t="inlineStr">
        <is>
          <t>Fit class</t>
        </is>
      </c>
      <c r="L1" s="4" t="inlineStr">
        <is>
          <t>Tier</t>
        </is>
      </c>
      <c r="M1" s="4" t="inlineStr">
        <is>
          <t>Notes</t>
        </is>
      </c>
    </row>
    <row r="2" hidden="1">
      <c r="A2" t="inlineStr">
        <is>
          <t>Factor weights (ref)</t>
        </is>
      </c>
      <c r="B2" s="5" t="n">
        <v>0.15</v>
      </c>
      <c r="C2" s="5" t="n">
        <v>0.15</v>
      </c>
      <c r="D2" s="5" t="n">
        <v>0.15</v>
      </c>
      <c r="E2" s="5" t="n">
        <v>0.15</v>
      </c>
      <c r="F2" s="5" t="n">
        <v>0.1</v>
      </c>
      <c r="G2" s="5" t="n">
        <v>0.1</v>
      </c>
      <c r="H2" s="5" t="n">
        <v>0.1</v>
      </c>
      <c r="I2" s="5" t="n">
        <v>0.1</v>
      </c>
    </row>
    <row r="3">
      <c r="A3" t="inlineStr">
        <is>
          <t>Freight Brokerage</t>
        </is>
      </c>
      <c r="B3" s="6" t="n">
        <v>9</v>
      </c>
      <c r="C3" s="6" t="n">
        <v>9</v>
      </c>
      <c r="D3" s="6" t="n">
        <v>10</v>
      </c>
      <c r="E3" s="6" t="n">
        <v>8</v>
      </c>
      <c r="F3" s="6" t="n">
        <v>8</v>
      </c>
      <c r="G3" s="6" t="n">
        <v>10</v>
      </c>
      <c r="H3" s="6" t="n">
        <v>4</v>
      </c>
      <c r="I3" s="6" t="n">
        <v>5</v>
      </c>
      <c r="J3" s="5">
        <f>ROUND((B3*$B$2+C3*$C$2+D3*$D$2+E3*$E$2+F3*$F$2+G3*$G$2+(10-H3)*$H$2+(10-I3)*$I$2)/SUM($B$2:$I$2),1)</f>
        <v/>
      </c>
      <c r="K3" s="6" t="inlineStr">
        <is>
          <t>Conditional</t>
        </is>
      </c>
      <c r="L3" s="5">
        <f>IF(J3&gt;=7.5,"Tier 1",IF(J3&gt;=5.5,"Tier 2","Tier 3"))</f>
        <v/>
      </c>
    </row>
    <row r="4">
      <c r="A4" t="inlineStr">
        <is>
          <t>Construction Estimating</t>
        </is>
      </c>
      <c r="B4" s="6" t="n">
        <v>10</v>
      </c>
      <c r="C4" s="6" t="n">
        <v>8</v>
      </c>
      <c r="D4" s="6" t="n">
        <v>7</v>
      </c>
      <c r="E4" s="6" t="n">
        <v>9</v>
      </c>
      <c r="F4" s="6" t="n">
        <v>8</v>
      </c>
      <c r="G4" s="6" t="n">
        <v>3</v>
      </c>
      <c r="H4" s="6" t="n">
        <v>4</v>
      </c>
      <c r="I4" s="6" t="n">
        <v>3</v>
      </c>
      <c r="J4" s="5">
        <f>ROUND((B4*$B$2+C4*$C$2+D4*$D$2+E4*$E$2+F4*$F$2+G4*$G$2+(10-H4)*$H$2+(10-I4)*$I$2)/SUM($B$2:$I$2),1)</f>
        <v/>
      </c>
      <c r="K4" s="6" t="inlineStr">
        <is>
          <t>Buy</t>
        </is>
      </c>
      <c r="L4" s="5">
        <f>IF(J4&gt;=7.5,"Tier 1",IF(J4&gt;=5.5,"Tier 2","Tier 3"))</f>
        <v/>
      </c>
    </row>
    <row r="5">
      <c r="A5" t="inlineStr">
        <is>
          <t>Permit Expediting</t>
        </is>
      </c>
      <c r="B5" s="6" t="n">
        <v>10</v>
      </c>
      <c r="C5" s="6" t="n">
        <v>9</v>
      </c>
      <c r="D5" s="6" t="n">
        <v>8</v>
      </c>
      <c r="E5" s="6" t="n">
        <v>10</v>
      </c>
      <c r="F5" s="6" t="n">
        <v>7</v>
      </c>
      <c r="G5" s="6" t="n">
        <v>2</v>
      </c>
      <c r="H5" s="6" t="n">
        <v>3</v>
      </c>
      <c r="I5" s="6" t="n">
        <v>4</v>
      </c>
      <c r="J5" s="5">
        <f>ROUND((B5*$B$2+C5*$C$2+D5*$D$2+E5*$E$2+F5*$F$2+G5*$G$2+(10-H5)*$H$2+(10-I5)*$I$2)/SUM($B$2:$I$2),1)</f>
        <v/>
      </c>
      <c r="K5" s="6" t="inlineStr">
        <is>
          <t>Buy</t>
        </is>
      </c>
      <c r="L5" s="5">
        <f>IF(J5&gt;=7.5,"Tier 1",IF(J5&gt;=5.5,"Tier 2","Tier 3"))</f>
        <v/>
      </c>
    </row>
    <row r="6">
      <c r="A6" t="inlineStr">
        <is>
          <t>Industrial Distribution</t>
        </is>
      </c>
      <c r="B6" s="6" t="n">
        <v>8</v>
      </c>
      <c r="C6" s="6" t="n">
        <v>8</v>
      </c>
      <c r="D6" s="6" t="n">
        <v>10</v>
      </c>
      <c r="E6" s="6" t="n">
        <v>8</v>
      </c>
      <c r="F6" s="6" t="n">
        <v>8</v>
      </c>
      <c r="G6" s="6" t="n">
        <v>5</v>
      </c>
      <c r="H6" s="6" t="n">
        <v>4</v>
      </c>
      <c r="I6" s="6" t="n">
        <v>5</v>
      </c>
      <c r="J6" s="5">
        <f>ROUND((B6*$B$2+C6*$C$2+D6*$D$2+E6*$E$2+F6*$F$2+G6*$G$2+(10-H6)*$H$2+(10-I6)*$I$2)/SUM($B$2:$I$2),1)</f>
        <v/>
      </c>
      <c r="K6" s="6" t="inlineStr">
        <is>
          <t>Conditional</t>
        </is>
      </c>
      <c r="L6" s="5">
        <f>IF(J6&gt;=7.5,"Tier 1",IF(J6&gt;=5.5,"Tier 2","Tier 3"))</f>
        <v/>
      </c>
    </row>
    <row r="7">
      <c r="A7" t="inlineStr">
        <is>
          <t>Specialty Staffing</t>
        </is>
      </c>
      <c r="B7" s="6" t="n">
        <v>7</v>
      </c>
      <c r="C7" s="6" t="n">
        <v>7</v>
      </c>
      <c r="D7" s="6" t="n">
        <v>7</v>
      </c>
      <c r="E7" s="6" t="n">
        <v>7</v>
      </c>
      <c r="F7" s="6" t="n">
        <v>8</v>
      </c>
      <c r="G7" s="6" t="n">
        <v>10</v>
      </c>
      <c r="H7" s="6" t="n">
        <v>8</v>
      </c>
      <c r="I7" s="6" t="n">
        <v>7</v>
      </c>
      <c r="J7" s="5">
        <f>ROUND((B7*$B$2+C7*$C$2+D7*$D$2+E7*$E$2+F7*$F$2+G7*$G$2+(10-H7)*$H$2+(10-I7)*$I$2)/SUM($B$2:$I$2),1)</f>
        <v/>
      </c>
      <c r="K7" s="6" t="inlineStr">
        <is>
          <t>Never</t>
        </is>
      </c>
      <c r="L7" s="5">
        <f>IF(J7&gt;=7.5,"Tier 1",IF(J7&gt;=5.5,"Tier 2","Tier 3"))</f>
        <v/>
      </c>
    </row>
    <row r="8">
      <c r="A8" t="inlineStr">
        <is>
          <t>Insurance Inspections</t>
        </is>
      </c>
      <c r="B8" s="6" t="n">
        <v>8</v>
      </c>
      <c r="C8" s="6" t="n">
        <v>8</v>
      </c>
      <c r="D8" s="6" t="n">
        <v>8</v>
      </c>
      <c r="E8" s="6" t="n">
        <v>8</v>
      </c>
      <c r="F8" s="6" t="n">
        <v>7</v>
      </c>
      <c r="G8" s="6" t="n">
        <v>2</v>
      </c>
      <c r="H8" s="6" t="n">
        <v>6</v>
      </c>
      <c r="I8" s="6" t="n">
        <v>4</v>
      </c>
      <c r="J8" s="5">
        <f>ROUND((B8*$B$2+C8*$C$2+D8*$D$2+E8*$E$2+F8*$F$2+G8*$G$2+(10-H8)*$H$2+(10-I8)*$I$2)/SUM($B$2:$I$2),1)</f>
        <v/>
      </c>
      <c r="K8" s="6" t="inlineStr">
        <is>
          <t>Conditional</t>
        </is>
      </c>
      <c r="L8" s="5">
        <f>IF(J8&gt;=7.5,"Tier 1",IF(J8&gt;=5.5,"Tier 2","Tier 3"))</f>
        <v/>
      </c>
    </row>
    <row r="9">
      <c r="A9" t="inlineStr">
        <is>
          <t>Valuation Services</t>
        </is>
      </c>
      <c r="B9" s="6" t="n">
        <v>8</v>
      </c>
      <c r="C9" s="6" t="n">
        <v>10</v>
      </c>
      <c r="D9" s="6" t="n">
        <v>9</v>
      </c>
      <c r="E9" s="6" t="n">
        <v>7</v>
      </c>
      <c r="F9" s="6" t="n">
        <v>9</v>
      </c>
      <c r="G9" s="6" t="n">
        <v>2</v>
      </c>
      <c r="H9" s="6" t="n">
        <v>3</v>
      </c>
      <c r="I9" s="6" t="n">
        <v>5</v>
      </c>
      <c r="J9" s="5">
        <f>ROUND((B9*$B$2+C9*$C$2+D9*$D$2+E9*$E$2+F9*$F$2+G9*$G$2+(10-H9)*$H$2+(10-I9)*$I$2)/SUM($B$2:$I$2),1)</f>
        <v/>
      </c>
      <c r="K9" s="6" t="inlineStr">
        <is>
          <t>Buy</t>
        </is>
      </c>
      <c r="L9" s="5">
        <f>IF(J9&gt;=7.5,"Tier 1",IF(J9&gt;=5.5,"Tier 2","Tier 3"))</f>
        <v/>
      </c>
    </row>
    <row r="10">
      <c r="A10" t="inlineStr">
        <is>
          <t>Industry Research / Data</t>
        </is>
      </c>
      <c r="B10" s="6" t="n">
        <v>9</v>
      </c>
      <c r="C10" s="6" t="n">
        <v>10</v>
      </c>
      <c r="D10" s="6" t="n">
        <v>9</v>
      </c>
      <c r="E10" s="6" t="n">
        <v>8</v>
      </c>
      <c r="F10" s="6" t="n">
        <v>9</v>
      </c>
      <c r="G10" s="6" t="n">
        <v>1</v>
      </c>
      <c r="H10" s="6" t="n">
        <v>2</v>
      </c>
      <c r="I10" s="6" t="n">
        <v>3</v>
      </c>
      <c r="J10" s="5">
        <f>ROUND((B10*$B$2+C10*$C$2+D10*$D$2+E10*$E$2+F10*$F$2+G10*$G$2+(10-H10)*$H$2+(10-I10)*$I$2)/SUM($B$2:$I$2),1)</f>
        <v/>
      </c>
      <c r="K10" s="6" t="inlineStr">
        <is>
          <t>Buy</t>
        </is>
      </c>
      <c r="L10" s="5">
        <f>IF(J10&gt;=7.5,"Tier 1",IF(J10&gt;=5.5,"Tier 2","Tier 3"))</f>
        <v/>
      </c>
    </row>
    <row r="11">
      <c r="A11" t="inlineStr">
        <is>
          <t>Vertical SaaS</t>
        </is>
      </c>
      <c r="B11" s="6" t="n">
        <v>8</v>
      </c>
      <c r="C11" s="6" t="n">
        <v>9</v>
      </c>
      <c r="D11" s="6" t="n">
        <v>9</v>
      </c>
      <c r="E11" s="6" t="n">
        <v>10</v>
      </c>
      <c r="F11" s="6" t="n">
        <v>10</v>
      </c>
      <c r="G11" s="6" t="n">
        <v>2</v>
      </c>
      <c r="H11" s="6" t="n">
        <v>2</v>
      </c>
      <c r="I11" s="6" t="n">
        <v>4</v>
      </c>
      <c r="J11" s="5">
        <f>ROUND((B11*$B$2+C11*$C$2+D11*$D$2+E11*$E$2+F11*$F$2+G11*$G$2+(10-H11)*$H$2+(10-I11)*$I$2)/SUM($B$2:$I$2),1)</f>
        <v/>
      </c>
      <c r="K11" s="6" t="inlineStr">
        <is>
          <t>Buy</t>
        </is>
      </c>
      <c r="L11" s="5">
        <f>IF(J11&gt;=7.5,"Tier 1",IF(J11&gt;=5.5,"Tier 2","Tier 3"))</f>
        <v/>
      </c>
    </row>
    <row r="12">
      <c r="A12" t="inlineStr">
        <is>
          <t>MSP</t>
        </is>
      </c>
      <c r="B12" s="6" t="n">
        <v>6</v>
      </c>
      <c r="C12" s="6" t="n">
        <v>5</v>
      </c>
      <c r="D12" s="6" t="n">
        <v>6</v>
      </c>
      <c r="E12" s="6" t="n">
        <v>6</v>
      </c>
      <c r="F12" s="6" t="n">
        <v>6</v>
      </c>
      <c r="G12" s="6" t="n">
        <v>1</v>
      </c>
      <c r="H12" s="6" t="n">
        <v>8</v>
      </c>
      <c r="I12" s="6" t="n">
        <v>8</v>
      </c>
      <c r="J12" s="5">
        <f>ROUND((B12*$B$2+C12*$C$2+D12*$D$2+E12*$E$2+F12*$F$2+G12*$G$2+(10-H12)*$H$2+(10-I12)*$I$2)/SUM($B$2:$I$2),1)</f>
        <v/>
      </c>
      <c r="K12" s="6" t="inlineStr">
        <is>
          <t>Never</t>
        </is>
      </c>
      <c r="L12" s="5">
        <f>IF(J12&gt;=7.5,"Tier 1",IF(J12&gt;=5.5,"Tier 2","Tier 3"))</f>
        <v/>
      </c>
    </row>
    <row r="13">
      <c r="A13" t="inlineStr">
        <is>
          <t>HVAC</t>
        </is>
      </c>
      <c r="B13" s="6" t="n">
        <v>4</v>
      </c>
      <c r="C13" s="6" t="n">
        <v>2</v>
      </c>
      <c r="D13" s="6" t="n">
        <v>3</v>
      </c>
      <c r="E13" s="6" t="n">
        <v>2</v>
      </c>
      <c r="F13" s="6" t="n">
        <v>3</v>
      </c>
      <c r="G13" s="6" t="n">
        <v>1</v>
      </c>
      <c r="H13" s="6" t="n">
        <v>9</v>
      </c>
      <c r="I13" s="6" t="n">
        <v>5</v>
      </c>
      <c r="J13" s="5">
        <f>ROUND((B13*$B$2+C13*$C$2+D13*$D$2+E13*$E$2+F13*$F$2+G13*$G$2+(10-H13)*$H$2+(10-I13)*$I$2)/SUM($B$2:$I$2),1)</f>
        <v/>
      </c>
      <c r="K13" s="6" t="inlineStr">
        <is>
          <t>Never</t>
        </is>
      </c>
      <c r="L13" s="5">
        <f>IF(J13&gt;=7.5,"Tier 1",IF(J13&gt;=5.5,"Tier 2","Tier 3"))</f>
        <v/>
      </c>
    </row>
    <row r="14">
      <c r="A14" t="inlineStr">
        <is>
          <t>Roofing</t>
        </is>
      </c>
      <c r="B14" s="6" t="n">
        <v>4</v>
      </c>
      <c r="C14" s="6" t="n">
        <v>2</v>
      </c>
      <c r="D14" s="6" t="n">
        <v>4</v>
      </c>
      <c r="E14" s="6" t="n">
        <v>2</v>
      </c>
      <c r="F14" s="6" t="n">
        <v>2</v>
      </c>
      <c r="G14" s="6" t="n">
        <v>1</v>
      </c>
      <c r="H14" s="6" t="n">
        <v>10</v>
      </c>
      <c r="I14" s="6" t="n">
        <v>6</v>
      </c>
      <c r="J14" s="5">
        <f>ROUND((B14*$B$2+C14*$C$2+D14*$D$2+E14*$E$2+F14*$F$2+G14*$G$2+(10-H14)*$H$2+(10-I14)*$I$2)/SUM($B$2:$I$2),1)</f>
        <v/>
      </c>
      <c r="K14" s="6" t="inlineStr">
        <is>
          <t>Never</t>
        </is>
      </c>
      <c r="L14" s="5">
        <f>IF(J14&gt;=7.5,"Tier 1",IF(J14&gt;=5.5,"Tier 2","Tier 3"))</f>
        <v/>
      </c>
    </row>
    <row r="15">
      <c r="A15" t="inlineStr">
        <is>
          <t>Self Storage</t>
        </is>
      </c>
      <c r="B15" s="6" t="n">
        <v>2</v>
      </c>
      <c r="C15" s="6" t="n">
        <v>2</v>
      </c>
      <c r="D15" s="6" t="n">
        <v>5</v>
      </c>
      <c r="E15" s="6" t="n">
        <v>3</v>
      </c>
      <c r="F15" s="6" t="n">
        <v>1</v>
      </c>
      <c r="G15" s="6" t="n">
        <v>1</v>
      </c>
      <c r="H15" s="6" t="n">
        <v>2</v>
      </c>
      <c r="I15" s="6" t="n">
        <v>1</v>
      </c>
      <c r="J15" s="5">
        <f>ROUND((B15*$B$2+C15*$C$2+D15*$D$2+E15*$E$2+F15*$F$2+G15*$G$2+(10-H15)*$H$2+(10-I15)*$I$2)/SUM($B$2:$I$2),1)</f>
        <v/>
      </c>
      <c r="K15" s="6" t="inlineStr">
        <is>
          <t>Never</t>
        </is>
      </c>
      <c r="L15" s="5">
        <f>IF(J15&gt;=7.5,"Tier 1",IF(J15&gt;=5.5,"Tier 2","Tier 3"))</f>
        <v/>
      </c>
    </row>
    <row r="16">
      <c r="A16" t="inlineStr">
        <is>
          <t>Laundromat</t>
        </is>
      </c>
      <c r="B16" s="6" t="n">
        <v>1</v>
      </c>
      <c r="C16" s="6" t="n">
        <v>1</v>
      </c>
      <c r="D16" s="6" t="n">
        <v>3</v>
      </c>
      <c r="E16" s="6" t="n">
        <v>2</v>
      </c>
      <c r="F16" s="6" t="n">
        <v>1</v>
      </c>
      <c r="G16" s="6" t="n">
        <v>1</v>
      </c>
      <c r="H16" s="6" t="n">
        <v>2</v>
      </c>
      <c r="I16" s="6" t="n">
        <v>1</v>
      </c>
      <c r="J16" s="5">
        <f>ROUND((B16*$B$2+C16*$C$2+D16*$D$2+E16*$E$2+F16*$F$2+G16*$G$2+(10-H16)*$H$2+(10-I16)*$I$2)/SUM($B$2:$I$2),1)</f>
        <v/>
      </c>
      <c r="K16" s="6" t="inlineStr">
        <is>
          <t>Never</t>
        </is>
      </c>
      <c r="L16" s="5">
        <f>IF(J16&gt;=7.5,"Tier 1",IF(J16&gt;=5.5,"Tier 2","Tier 3"))</f>
        <v/>
      </c>
    </row>
    <row r="19">
      <c r="A19" s="7" t="inlineStr">
        <is>
          <t>CATEGORY THEMES (preserved from original workbook)</t>
        </is>
      </c>
    </row>
    <row r="20">
      <c r="A20" s="4" t="inlineStr">
        <is>
          <t>#</t>
        </is>
      </c>
      <c r="B20" s="4" t="inlineStr">
        <is>
          <t>Business type &amp; Theme</t>
        </is>
      </c>
      <c r="C20" s="4" t="inlineStr">
        <is>
          <t>Why it fits</t>
        </is>
      </c>
      <c r="D20" s="4" t="inlineStr">
        <is>
          <t>Main risk</t>
        </is>
      </c>
      <c r="E20" s="4" t="inlineStr">
        <is>
          <t>Target EV</t>
        </is>
      </c>
    </row>
    <row r="21">
      <c r="A21" t="n">
        <v>1</v>
      </c>
      <c r="B21" t="inlineStr">
        <is>
          <t>Vertical logistics / dispatch service with software layer</t>
        </is>
      </c>
      <c r="C21" t="inlineStr">
        <is>
          <t>Direct match to quote-to-dispatch, routing, crew assignment, and pricing work.</t>
        </is>
      </c>
      <c r="D21" t="inlineStr">
        <is>
          <t>Labor, claims, seasonality, customer concentration.</t>
        </is>
      </c>
      <c r="E21" t="inlineStr"/>
    </row>
    <row r="22">
      <c r="A22" t="n">
        <v>2</v>
      </c>
      <c r="B22" t="inlineStr">
        <is>
          <t>Broker / intermediary business with ugly workflow</t>
        </is>
      </c>
      <c r="C22" t="inlineStr">
        <is>
          <t>Fits strength in reducing ambiguity, speeding quote generation, and standardizing handoffs.</t>
        </is>
      </c>
      <c r="D22" t="inlineStr">
        <is>
          <t>You may inherit relationship-heavy revenue that resists systemization.</t>
        </is>
      </c>
      <c r="E22" t="inlineStr"/>
    </row>
    <row r="23">
      <c r="A23" t="n">
        <v>3</v>
      </c>
      <c r="B23" t="inlineStr">
        <is>
          <t>B2B services business with recurring ops chaos</t>
        </is>
      </c>
      <c r="C23" t="inlineStr">
        <is>
          <t>Good if there is a repetitive intake, scheduling, billing, compliance, or QA loop.</t>
        </is>
      </c>
      <c r="D23" t="inlineStr">
        <is>
          <t>Margin leakage can be hidden until after close.</t>
        </is>
      </c>
      <c r="E23" t="inlineStr"/>
    </row>
    <row r="24">
      <c r="A24" t="n">
        <v>4</v>
      </c>
      <c r="B24" t="inlineStr">
        <is>
          <t>Niche vertical SaaS with service wrapper</t>
        </is>
      </c>
      <c r="C24" t="inlineStr">
        <is>
          <t>Best if the software is underbuilt and the real product is workflow control.</t>
        </is>
      </c>
      <c r="D24" t="inlineStr">
        <is>
          <t>Pure SaaS may be too slow if it lacks operational leverage.</t>
        </is>
      </c>
      <c r="E24" t="inlineStr"/>
    </row>
    <row r="25">
      <c r="A25" t="n">
        <v>5</v>
      </c>
      <c r="B25" t="inlineStr">
        <is>
          <t>HR / workforce / compliance admin business</t>
        </is>
      </c>
      <c r="C25" t="inlineStr">
        <is>
          <t>Strong fit because you understand transaction-ready data, integration, and diligence workflows.</t>
        </is>
      </c>
      <c r="D25" t="inlineStr">
        <is>
          <t>Sales cycles and buyer conservatism can slow change.</t>
        </is>
      </c>
      <c r="E25" t="inlineStr"/>
    </row>
    <row r="28">
      <c r="A28" s="7" t="inlineStr">
        <is>
          <t>ACQUISITION TYPES (preserved)</t>
        </is>
      </c>
    </row>
    <row r="29">
      <c r="A29" s="4" t="inlineStr">
        <is>
          <t>#</t>
        </is>
      </c>
      <c r="B29" s="4" t="inlineStr">
        <is>
          <t>Acquisition type</t>
        </is>
      </c>
      <c r="C29" s="4" t="inlineStr">
        <is>
          <t>Why it fits</t>
        </is>
      </c>
      <c r="D29" s="4" t="inlineStr">
        <is>
          <t>Target EBITDA</t>
        </is>
      </c>
      <c r="E29" s="4" t="inlineStr">
        <is>
          <t>Target EV / Note</t>
        </is>
      </c>
    </row>
    <row r="30">
      <c r="A30" t="n">
        <v>1</v>
      </c>
      <c r="B30" t="inlineStr">
        <is>
          <t>Last-mile / dispatch-heavy logistics, 3PL, freight brokerage, specialized routing</t>
        </is>
      </c>
      <c r="C30" t="inlineStr">
        <is>
          <t>Direct match to quote-to-dispatch, pricing, status, crew/workforce orchestration, and operational AI mindset.</t>
        </is>
      </c>
      <c r="D30" t="inlineStr">
        <is>
          <t>$700k–$2.5M</t>
        </is>
      </c>
      <c r="E30" t="inlineStr"/>
    </row>
    <row r="31">
      <c r="A31" t="n">
        <v>2</v>
      </c>
      <c r="B31" t="inlineStr">
        <is>
          <t>Field-service or installation business with scheduling complexity</t>
        </is>
      </c>
      <c r="C31" t="inlineStr">
        <is>
          <t>Same bottleneck pattern as logistics: intake, dispatch, exceptions, capacity, and customer status.</t>
        </is>
      </c>
      <c r="D31" t="inlineStr">
        <is>
          <t>$500k–$1.8M</t>
        </is>
      </c>
      <c r="E31" t="inlineStr"/>
    </row>
    <row r="32">
      <c r="A32" t="n">
        <v>3</v>
      </c>
      <c r="B32" t="inlineStr">
        <is>
          <t>Business brokerage / advisory / transaction services with process drag</t>
        </is>
      </c>
      <c r="C32" t="inlineStr">
        <is>
          <t>Strong fit if the real problem is Excel, email, and manual reporting.</t>
        </is>
      </c>
      <c r="D32" t="inlineStr">
        <is>
          <t>$400k–$1.5M</t>
        </is>
      </c>
      <c r="E32" t="inlineStr"/>
    </row>
    <row r="33">
      <c r="A33" t="n">
        <v>4</v>
      </c>
      <c r="B33" t="inlineStr">
        <is>
          <t>HR, payroll, diligence, or workforce-integration services</t>
        </is>
      </c>
      <c r="C33" t="inlineStr">
        <is>
          <t>Fits transaction-readiness and integration-first thinking.</t>
        </is>
      </c>
      <c r="D33" t="inlineStr">
        <is>
          <t>$500k–$2.0M</t>
        </is>
      </c>
      <c r="E33" t="inlineStr"/>
    </row>
    <row r="34">
      <c r="A34" t="n">
        <v>5</v>
      </c>
      <c r="B34" t="inlineStr">
        <is>
          <t>Compliance / trust-sensitive monitoring business</t>
        </is>
      </c>
      <c r="C34" t="inlineStr">
        <is>
          <t>Good if signal quality matters more than feature breadth.</t>
        </is>
      </c>
      <c r="D34" t="inlineStr">
        <is>
          <t>$600k–$2.0M</t>
        </is>
      </c>
      <c r="E34" t="inlineStr"/>
    </row>
    <row r="35">
      <c r="A35" t="n">
        <v>6</v>
      </c>
      <c r="B35" t="inlineStr">
        <is>
          <t>Generic local service business without workflow leverage</t>
        </is>
      </c>
      <c r="C35" t="inlineStr">
        <is>
          <t>You can own it, but it is mostly management labor, not systems leverage.</t>
        </is>
      </c>
      <c r="D35" t="inlineStr">
        <is>
          <t>Any</t>
        </is>
      </c>
      <c r="E35" t="inlineStr"/>
    </row>
    <row r="36">
      <c r="A36" t="n">
        <v>7</v>
      </c>
      <c r="B36" t="inlineStr">
        <is>
          <t>Passive-style: parking lots, freight-yard, storage-yard, junk-yard</t>
        </is>
      </c>
      <c r="C36" t="inlineStr">
        <is>
          <t>Cash-flow asset, not product-led operating leverage.</t>
        </is>
      </c>
      <c r="D36" t="inlineStr">
        <is>
          <t>Varies</t>
        </is>
      </c>
      <c r="E36" t="inlineStr">
        <is>
          <t>Reject unless goal changes to cash-flow investing</t>
        </is>
      </c>
    </row>
  </sheetData>
  <dataValidations count="14">
    <dataValidation sqref="K3" showDropDown="0" showInputMessage="0" showErrorMessage="0" allowBlank="1" type="list">
      <formula1>"Buy,Conditional,Never,Review"</formula1>
    </dataValidation>
    <dataValidation sqref="K4" showDropDown="0" showInputMessage="0" showErrorMessage="0" allowBlank="1" type="list">
      <formula1>"Buy,Conditional,Never,Review"</formula1>
    </dataValidation>
    <dataValidation sqref="K5" showDropDown="0" showInputMessage="0" showErrorMessage="0" allowBlank="1" type="list">
      <formula1>"Buy,Conditional,Never,Review"</formula1>
    </dataValidation>
    <dataValidation sqref="K6" showDropDown="0" showInputMessage="0" showErrorMessage="0" allowBlank="1" type="list">
      <formula1>"Buy,Conditional,Never,Review"</formula1>
    </dataValidation>
    <dataValidation sqref="K7" showDropDown="0" showInputMessage="0" showErrorMessage="0" allowBlank="1" type="list">
      <formula1>"Buy,Conditional,Never,Review"</formula1>
    </dataValidation>
    <dataValidation sqref="K8" showDropDown="0" showInputMessage="0" showErrorMessage="0" allowBlank="1" type="list">
      <formula1>"Buy,Conditional,Never,Review"</formula1>
    </dataValidation>
    <dataValidation sqref="K9" showDropDown="0" showInputMessage="0" showErrorMessage="0" allowBlank="1" type="list">
      <formula1>"Buy,Conditional,Never,Review"</formula1>
    </dataValidation>
    <dataValidation sqref="K10" showDropDown="0" showInputMessage="0" showErrorMessage="0" allowBlank="1" type="list">
      <formula1>"Buy,Conditional,Never,Review"</formula1>
    </dataValidation>
    <dataValidation sqref="K11" showDropDown="0" showInputMessage="0" showErrorMessage="0" allowBlank="1" type="list">
      <formula1>"Buy,Conditional,Never,Review"</formula1>
    </dataValidation>
    <dataValidation sqref="K12" showDropDown="0" showInputMessage="0" showErrorMessage="0" allowBlank="1" type="list">
      <formula1>"Buy,Conditional,Never,Review"</formula1>
    </dataValidation>
    <dataValidation sqref="K13" showDropDown="0" showInputMessage="0" showErrorMessage="0" allowBlank="1" type="list">
      <formula1>"Buy,Conditional,Never,Review"</formula1>
    </dataValidation>
    <dataValidation sqref="K14" showDropDown="0" showInputMessage="0" showErrorMessage="0" allowBlank="1" type="list">
      <formula1>"Buy,Conditional,Never,Review"</formula1>
    </dataValidation>
    <dataValidation sqref="K15" showDropDown="0" showInputMessage="0" showErrorMessage="0" allowBlank="1" type="list">
      <formula1>"Buy,Conditional,Never,Review"</formula1>
    </dataValidation>
    <dataValidation sqref="K16" showDropDown="0" showInputMessage="0" showErrorMessage="0" allowBlank="1" type="list">
      <formula1>"Buy,Conditional,Never,Review"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8" customWidth="1" min="3" max="3"/>
    <col width="12" customWidth="1" min="4" max="4"/>
  </cols>
  <sheetData>
    <row r="1">
      <c r="A1" s="7" t="inlineStr">
        <is>
          <t>TARGET SIZE BANDS — small individual acquirer</t>
        </is>
      </c>
      <c r="B1" s="7" t="inlineStr"/>
    </row>
    <row r="2">
      <c r="A2" s="4" t="inlineStr">
        <is>
          <t>Band</t>
        </is>
      </c>
      <c r="B2" s="4" t="inlineStr">
        <is>
          <t>SDE / EBITDA</t>
        </is>
      </c>
      <c r="C2" s="4" t="inlineStr">
        <is>
          <t>EV</t>
        </is>
      </c>
      <c r="D2" s="4" t="inlineStr">
        <is>
          <t>Notes</t>
        </is>
      </c>
    </row>
    <row r="3">
      <c r="A3" t="inlineStr">
        <is>
          <t>Preferred</t>
        </is>
      </c>
      <c r="B3" t="inlineStr">
        <is>
          <t>$150K–$500K</t>
        </is>
      </c>
      <c r="C3" t="inlineStr">
        <is>
          <t>$500K–$2.0M</t>
        </is>
      </c>
      <c r="D3" t="inlineStr">
        <is>
          <t>Default search range</t>
        </is>
      </c>
    </row>
    <row r="4">
      <c r="A4" t="inlineStr">
        <is>
          <t>Stretch</t>
        </is>
      </c>
      <c r="B4" t="inlineStr">
        <is>
          <t>$500K–$750K</t>
        </is>
      </c>
      <c r="C4" t="inlineStr">
        <is>
          <t>$2.0M–$3.0M</t>
        </is>
      </c>
      <c r="D4" t="inlineStr">
        <is>
          <t>Requires lender pre-qual + seller financing</t>
        </is>
      </c>
    </row>
    <row r="5">
      <c r="A5" t="inlineStr">
        <is>
          <t>Avoid</t>
        </is>
      </c>
      <c r="B5" t="inlineStr">
        <is>
          <t>&lt; $150K or &gt; $750K EBITDA</t>
        </is>
      </c>
      <c r="C5" t="inlineStr">
        <is>
          <t>&gt; $3.0M EV</t>
        </is>
      </c>
      <c r="D5" t="inlineStr">
        <is>
          <t>Too small (job) or too large without capital</t>
        </is>
      </c>
    </row>
    <row r="6">
      <c r="A6" t="inlineStr"/>
      <c r="B6" t="inlineStr"/>
      <c r="C6" t="inlineStr"/>
      <c r="D6" t="inlineStr"/>
    </row>
    <row r="7">
      <c r="A7" s="7" t="inlineStr">
        <is>
          <t>AFFORDABILITY CALCULATOR (fill yellow cells)</t>
        </is>
      </c>
      <c r="B7" s="7" t="inlineStr"/>
    </row>
    <row r="8">
      <c r="A8" s="4" t="inlineStr">
        <is>
          <t>Field</t>
        </is>
      </c>
      <c r="B8" s="4" t="inlineStr">
        <is>
          <t>Value</t>
        </is>
      </c>
      <c r="C8" s="4" t="inlineStr">
        <is>
          <t>Formula / Threshold</t>
        </is>
      </c>
      <c r="D8" s="4" t="inlineStr">
        <is>
          <t>Pass?</t>
        </is>
      </c>
    </row>
    <row r="9">
      <c r="A9" t="inlineStr">
        <is>
          <t>Asking price / EV ($)</t>
        </is>
      </c>
      <c r="B9" s="6" t="n"/>
      <c r="C9" t="inlineStr">
        <is>
          <t>INPUT</t>
        </is>
      </c>
    </row>
    <row r="10">
      <c r="A10" t="inlineStr">
        <is>
          <t>Seller-reported SDE ($)</t>
        </is>
      </c>
      <c r="B10" s="6" t="n"/>
      <c r="C10" t="inlineStr">
        <is>
          <t>INPUT</t>
        </is>
      </c>
    </row>
    <row r="11">
      <c r="A11" t="inlineStr">
        <is>
          <t>Seller-reported EBITDA ($)</t>
        </is>
      </c>
      <c r="B11" s="6" t="n"/>
      <c r="C11" t="inlineStr">
        <is>
          <t>INPUT</t>
        </is>
      </c>
    </row>
    <row r="12">
      <c r="A12" t="inlineStr">
        <is>
          <t>Normalized buyer SDE ($)</t>
        </is>
      </c>
      <c r="B12" s="6" t="n"/>
      <c r="C12" t="inlineStr">
        <is>
          <t>INPUT — use for multiples</t>
        </is>
      </c>
    </row>
    <row r="13">
      <c r="A13" t="inlineStr">
        <is>
          <t>Normalized buyer EBITDA ($)</t>
        </is>
      </c>
      <c r="B13" s="6" t="n"/>
      <c r="C13" t="inlineStr">
        <is>
          <t>INPUT — use for debt service</t>
        </is>
      </c>
    </row>
    <row r="14">
      <c r="A14" t="inlineStr">
        <is>
          <t>Down payment %</t>
        </is>
      </c>
      <c r="B14" s="6" t="n">
        <v>0.2</v>
      </c>
      <c r="C14" t="inlineStr">
        <is>
          <t>INPUT (default 20%)</t>
        </is>
      </c>
    </row>
    <row r="15">
      <c r="A15" t="inlineStr">
        <is>
          <t>Seller financing %</t>
        </is>
      </c>
      <c r="B15" s="8" t="n">
        <v>0.1</v>
      </c>
      <c r="C15" t="inlineStr">
        <is>
          <t>INPUT</t>
        </is>
      </c>
    </row>
    <row r="16">
      <c r="A16" t="inlineStr">
        <is>
          <t>Interest rate (annual)</t>
        </is>
      </c>
      <c r="B16" s="8" t="n">
        <v>0.08</v>
      </c>
      <c r="C16" t="inlineStr">
        <is>
          <t>INPUT</t>
        </is>
      </c>
    </row>
    <row r="17">
      <c r="A17" t="inlineStr">
        <is>
          <t>Loan term (years)</t>
        </is>
      </c>
      <c r="B17" s="8" t="n">
        <v>10</v>
      </c>
      <c r="C17" t="inlineStr">
        <is>
          <t>INPUT</t>
        </is>
      </c>
    </row>
    <row r="18">
      <c r="A18" t="inlineStr">
        <is>
          <t>Liquid capital available ($)</t>
        </is>
      </c>
      <c r="B18" s="8" t="n"/>
      <c r="C18" t="inlineStr">
        <is>
          <t>INPUT — fill in private copy only</t>
        </is>
      </c>
    </row>
    <row r="19">
      <c r="A19" t="inlineStr">
        <is>
          <t>Minimum personal income needed ($/yr)</t>
        </is>
      </c>
      <c r="B19" s="8" t="n"/>
      <c r="C19" t="inlineStr">
        <is>
          <t>INPUT</t>
        </is>
      </c>
    </row>
    <row r="20">
      <c r="A20" t="inlineStr"/>
      <c r="B20" s="6" t="inlineStr"/>
      <c r="C20" t="inlineStr"/>
      <c r="D20" t="inlineStr"/>
    </row>
    <row r="21">
      <c r="A21" t="inlineStr">
        <is>
          <t>EV / SDE (x)</t>
        </is>
      </c>
      <c r="B21" s="5">
        <f>IF(B12=0,"",B9/B12)</f>
        <v/>
      </c>
      <c r="C21">
        <f>IF(B11=0,"",B9/B11)</f>
        <v/>
      </c>
    </row>
    <row r="22">
      <c r="A22" t="inlineStr">
        <is>
          <t>EV / EBITDA (x)</t>
        </is>
      </c>
      <c r="B22" s="5">
        <f>IF(B13=0,"",B9/B13)</f>
        <v/>
      </c>
      <c r="C22">
        <f>IF(B13=0,"",B9/B13)</f>
        <v/>
      </c>
    </row>
    <row r="23">
      <c r="A23" t="inlineStr">
        <is>
          <t>Cash required ($)</t>
        </is>
      </c>
      <c r="B23" s="5">
        <f>B9*B14</f>
        <v/>
      </c>
      <c r="C23">
        <f>B9*B15</f>
        <v/>
      </c>
    </row>
    <row r="24">
      <c r="A24" t="inlineStr">
        <is>
          <t>Loan principal ($)</t>
        </is>
      </c>
      <c r="B24" s="5">
        <f>B9*(1-B14-B15)</f>
        <v/>
      </c>
      <c r="C24">
        <f>B9*(1-B15-B16)</f>
        <v/>
      </c>
    </row>
    <row r="25">
      <c r="A25" t="inlineStr">
        <is>
          <t>Annual debt service ($)</t>
        </is>
      </c>
      <c r="B25" s="5">
        <f>IF(AND(B16&gt;0,B17&gt;0),ABS(PMT(B16,B17,-B24)),"")</f>
        <v/>
      </c>
      <c r="C25">
        <f>IF(AND(B18&gt;0,B19&gt;0),PMT(B17,B19,-B22),"")</f>
        <v/>
      </c>
    </row>
    <row r="26">
      <c r="A26" t="inlineStr">
        <is>
          <t>DSCR (x)</t>
        </is>
      </c>
      <c r="B26" s="5">
        <f>IF(B25=0,"",B13/B25)</f>
        <v/>
      </c>
      <c r="C26">
        <f>IF(B24=0,"",B13/B24)</f>
        <v/>
      </c>
    </row>
    <row r="27">
      <c r="A27" t="inlineStr">
        <is>
          <t>Post-debt owner cash flow ($)</t>
        </is>
      </c>
      <c r="B27" s="5">
        <f>IF(B13="","",B13-B25)</f>
        <v/>
      </c>
      <c r="C27">
        <f>IF(B13="","",B13-B24)</f>
        <v/>
      </c>
    </row>
    <row r="28">
      <c r="A28" t="inlineStr">
        <is>
          <t>Size band</t>
        </is>
      </c>
      <c r="B28" s="5">
        <f>IF(OR(B13&lt;150000,B13&gt;750000,B9&gt;3000000),"Avoid",IF(AND(B13&gt;=150000,B13&lt;=500000,B9&lt;=2000000),"Preferred",IF(AND(B13&gt;500000,B13&lt;=750000,B9&lt;=3000000),"Stretch","Review")))</f>
        <v/>
      </c>
      <c r="C28" t="inlineStr">
        <is>
          <t>formula</t>
        </is>
      </c>
    </row>
    <row r="29">
      <c r="A29" t="inlineStr">
        <is>
          <t>Financing hard fail?</t>
        </is>
      </c>
      <c r="B29" s="5">
        <f>IF(OR(B18="",B23&gt;B18,B26&lt;1.25,B27&lt;B19),"YES","NO")</f>
        <v/>
      </c>
      <c r="C29" t="inlineStr">
        <is>
          <t>formula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6" customWidth="1" min="4" max="4"/>
  </cols>
  <sheetData>
    <row r="1">
      <c r="A1" s="7" t="inlineStr">
        <is>
          <t>OPERATOR READINESS — default: NOT YET</t>
        </is>
      </c>
    </row>
    <row r="3">
      <c r="A3" s="7" t="inlineStr">
        <is>
          <t>1. Capital and financing</t>
        </is>
      </c>
    </row>
    <row r="4">
      <c r="A4" s="4" t="inlineStr">
        <is>
          <t>Item</t>
        </is>
      </c>
      <c r="B4" s="4" t="inlineStr">
        <is>
          <t>Your answer</t>
        </is>
      </c>
      <c r="C4" s="4" t="inlineStr">
        <is>
          <t>Pass?</t>
        </is>
      </c>
    </row>
    <row r="5">
      <c r="A5" t="inlineStr">
        <is>
          <t>Liquid equity for down payment ($)</t>
        </is>
      </c>
      <c r="B5" s="6" t="n"/>
      <c r="C5" s="5">
        <f>IF(B5="","Incomplete",IF(OR(B5="NO",B5="Unknown"),"Fail","Pass"))</f>
        <v/>
      </c>
    </row>
    <row r="6">
      <c r="A6" t="inlineStr">
        <is>
          <t>Additional investable without ruin ($)</t>
        </is>
      </c>
      <c r="B6" s="6" t="n"/>
      <c r="C6" s="5">
        <f>IF(B6="","Incomplete",IF(OR(B6="NO",B6="Unknown"),"Fail","Pass"))</f>
        <v/>
      </c>
    </row>
    <row r="7">
      <c r="A7" t="inlineStr">
        <is>
          <t>SBA 7(a) or seller note pre-qualified?</t>
        </is>
      </c>
      <c r="B7" s="6" t="inlineStr">
        <is>
          <t>Unknown</t>
        </is>
      </c>
      <c r="C7" s="5">
        <f>IF(B7="","Incomplete",IF(OR(B7="NO",B7="Unknown"),"Fail","Pass"))</f>
        <v/>
      </c>
    </row>
    <row r="8">
      <c r="A8" t="inlineStr">
        <is>
          <t>Max monthly debt service affordable ($)</t>
        </is>
      </c>
      <c r="B8" s="6" t="n"/>
      <c r="C8" s="5">
        <f>IF(B8="","Incomplete",IF(OR(B8="NO",B8="Unknown"),"Fail","Pass"))</f>
        <v/>
      </c>
    </row>
    <row r="9">
      <c r="A9" t="inlineStr">
        <is>
          <t>Spouse/partner alignment on personal guarantee</t>
        </is>
      </c>
      <c r="B9" s="6" t="inlineStr">
        <is>
          <t>Unknown</t>
        </is>
      </c>
      <c r="C9" s="5">
        <f>IF(B9="","Incomplete",IF(OR(B9="NO",B9="Unknown"),"Fail","Pass"))</f>
        <v/>
      </c>
    </row>
    <row r="11">
      <c r="A11" s="7" t="inlineStr">
        <is>
          <t>2. Runway and income pressure</t>
        </is>
      </c>
    </row>
    <row r="12">
      <c r="A12" s="4" t="inlineStr">
        <is>
          <t>Item</t>
        </is>
      </c>
      <c r="B12" s="4" t="inlineStr">
        <is>
          <t>Your answer</t>
        </is>
      </c>
      <c r="C12" s="4" t="inlineStr">
        <is>
          <t>Pass?</t>
        </is>
      </c>
    </row>
    <row r="13">
      <c r="A13" t="inlineStr">
        <is>
          <t>Months of personal runway at current burn</t>
        </is>
      </c>
      <c r="B13" s="6" t="n"/>
      <c r="C13" s="5">
        <f>IF(B13="","Incomplete",IF(OR(B13="NO",B13="Unknown"),"Fail","Pass"))</f>
        <v/>
      </c>
    </row>
    <row r="14">
      <c r="A14" t="inlineStr">
        <is>
          <t>Minimum monthly income needed ($)</t>
        </is>
      </c>
      <c r="B14" s="6" t="n"/>
      <c r="C14" s="5">
        <f>IF(B14="","Incomplete",IF(OR(B14="NO",B14="Unknown"),"Fail","Pass"))</f>
        <v/>
      </c>
    </row>
    <row r="15">
      <c r="A15" t="inlineStr">
        <is>
          <t>Can you go 6-12 months with $0 salary during search?</t>
        </is>
      </c>
      <c r="B15" s="6" t="inlineStr">
        <is>
          <t>NO</t>
        </is>
      </c>
      <c r="C15" s="5">
        <f>IF(B15="","Incomplete",IF(OR(B15="NO",B15="Unknown"),"Fail","Pass"))</f>
        <v/>
      </c>
    </row>
    <row r="16">
      <c r="A16" t="inlineStr">
        <is>
          <t>Fractional income still required ($/mo)</t>
        </is>
      </c>
      <c r="B16" s="6" t="n"/>
      <c r="C16" s="5">
        <f>IF(B16="","Incomplete",IF(OR(B16="NO",B16="Unknown"),"Fail","Pass"))</f>
        <v/>
      </c>
    </row>
    <row r="18">
      <c r="A18" s="7" t="inlineStr">
        <is>
          <t>3. Operator willingness (1-5)</t>
        </is>
      </c>
    </row>
    <row r="19">
      <c r="A19" s="4" t="inlineStr">
        <is>
          <t>Activity</t>
        </is>
      </c>
      <c r="B19" s="4" t="inlineStr">
        <is>
          <t>Score (1-5)</t>
        </is>
      </c>
      <c r="C19" s="4" t="inlineStr">
        <is>
          <t>Pass?</t>
        </is>
      </c>
    </row>
    <row r="20">
      <c r="A20" t="inlineStr">
        <is>
          <t>Reviewing P&amp;L weekly</t>
        </is>
      </c>
      <c r="B20" s="6" t="n"/>
      <c r="C20" s="5">
        <f>IF(B20="","",IF(B20&gt;=3.5,"Pass","Fail"))</f>
        <v/>
      </c>
    </row>
    <row r="21">
      <c r="A21" t="inlineStr">
        <is>
          <t>Managing payroll / HR issues</t>
        </is>
      </c>
      <c r="B21" s="6" t="n"/>
      <c r="C21" s="5">
        <f>IF(B21="","",IF(B21&gt;=3.5,"Pass","Fail"))</f>
        <v/>
      </c>
    </row>
    <row r="22">
      <c r="A22" t="inlineStr">
        <is>
          <t>Vendor negotiations</t>
        </is>
      </c>
      <c r="B22" s="6" t="n"/>
      <c r="C22" s="5">
        <f>IF(B22="","",IF(B22&gt;=3.5,"Pass","Fail"))</f>
        <v/>
      </c>
    </row>
    <row r="23">
      <c r="A23" t="inlineStr">
        <is>
          <t>Seller transition meetings</t>
        </is>
      </c>
      <c r="B23" s="6" t="n"/>
      <c r="C23" s="5">
        <f>IF(B23="","",IF(B23&gt;=3.5,"Pass","Fail"))</f>
        <v/>
      </c>
    </row>
    <row r="24">
      <c r="A24" t="inlineStr">
        <is>
          <t>Firing underperformers</t>
        </is>
      </c>
      <c r="B24" s="6" t="n"/>
      <c r="C24" s="5">
        <f>IF(B24="","",IF(B24&gt;=3.5,"Pass","Fail"))</f>
        <v/>
      </c>
    </row>
    <row r="25">
      <c r="A25" t="inlineStr">
        <is>
          <t>Same customer problem 200 times</t>
        </is>
      </c>
      <c r="B25" s="6" t="n"/>
      <c r="C25" s="5">
        <f>IF(B25="","",IF(B25&gt;=3.5,"Pass","Fail"))</f>
        <v/>
      </c>
    </row>
    <row r="26">
      <c r="A26" t="inlineStr">
        <is>
          <t>Product/roadmap decisions post-close</t>
        </is>
      </c>
      <c r="B26" s="6" t="n"/>
      <c r="C26" s="5">
        <f>IF(B26="","",IF(B26&gt;=3.5,"Pass","Fail"))</f>
        <v/>
      </c>
    </row>
    <row r="28">
      <c r="A28" s="7" t="inlineStr">
        <is>
          <t>4. Seller transition</t>
        </is>
      </c>
    </row>
    <row r="29">
      <c r="A29" s="4" t="inlineStr">
        <is>
          <t>Item</t>
        </is>
      </c>
      <c r="B29" s="4" t="inlineStr">
        <is>
          <t>Plan</t>
        </is>
      </c>
      <c r="C29" s="4" t="inlineStr">
        <is>
          <t>Pass?</t>
        </is>
      </c>
    </row>
    <row r="30">
      <c r="A30" t="inlineStr">
        <is>
          <t>Weeks seller stays post-close</t>
        </is>
      </c>
      <c r="B30" s="6" t="n"/>
      <c r="C30" s="5">
        <f>IF(B30="","Incomplete",IF(OR(B30="NO",B30="Unknown"),"Fail","Pass"))</f>
        <v/>
      </c>
    </row>
    <row r="31">
      <c r="A31" t="inlineStr">
        <is>
          <t>Non-compete geography</t>
        </is>
      </c>
      <c r="B31" s="6" t="n"/>
      <c r="C31" s="5">
        <f>IF(B31="","Incomplete",IF(OR(B31="NO",B31="Unknown"),"Fail","Pass"))</f>
        <v/>
      </c>
    </row>
    <row r="32">
      <c r="A32" t="inlineStr">
        <is>
          <t>Customer intro commitments</t>
        </is>
      </c>
      <c r="B32" s="6" t="n"/>
      <c r="C32" s="5">
        <f>IF(B32="","Incomplete",IF(OR(B32="NO",B32="Unknown"),"Fail","Pass"))</f>
        <v/>
      </c>
    </row>
    <row r="33">
      <c r="A33" t="inlineStr">
        <is>
          <t>Your hours/week during transition</t>
        </is>
      </c>
      <c r="B33" s="6" t="n"/>
      <c r="C33" s="5">
        <f>IF(B33="","Incomplete",IF(OR(B33="NO",B33="Unknown"),"Fail","Pass"))</f>
        <v/>
      </c>
    </row>
    <row r="35">
      <c r="A35" s="7" t="inlineStr">
        <is>
          <t>5. Time budget</t>
        </is>
      </c>
    </row>
    <row r="36">
      <c r="A36" s="4" t="inlineStr">
        <is>
          <t>Activity</t>
        </is>
      </c>
      <c r="B36" s="4" t="inlineStr">
        <is>
          <t>Hrs/week budget</t>
        </is>
      </c>
      <c r="C36" s="4" t="inlineStr">
        <is>
          <t>Actual (4-wk avg)</t>
        </is>
      </c>
    </row>
    <row r="37">
      <c r="A37" t="inlineStr">
        <is>
          <t>Path B: founder outreach / apps</t>
        </is>
      </c>
      <c r="B37" s="6" t="n">
        <v>12</v>
      </c>
      <c r="C37" s="5" t="n"/>
    </row>
    <row r="38">
      <c r="A38" t="inlineStr">
        <is>
          <t>Path A: Quotely distribution</t>
        </is>
      </c>
      <c r="B38" s="6" t="n">
        <v>7</v>
      </c>
      <c r="C38" s="5" t="n"/>
    </row>
    <row r="39">
      <c r="A39" t="inlineStr">
        <is>
          <t>Acquisition: search + diligence</t>
        </is>
      </c>
      <c r="B39" s="6" t="n">
        <v>5</v>
      </c>
      <c r="C39" s="5" t="n"/>
    </row>
    <row r="41">
      <c r="A41" s="7" t="inlineStr">
        <is>
          <t>6. Professional support</t>
        </is>
      </c>
    </row>
    <row r="42">
      <c r="A42" s="4" t="inlineStr">
        <is>
          <t>Resource</t>
        </is>
      </c>
      <c r="B42" s="4" t="inlineStr">
        <is>
          <t>Secured?</t>
        </is>
      </c>
      <c r="C42" s="4" t="inlineStr">
        <is>
          <t>Pass?</t>
        </is>
      </c>
    </row>
    <row r="43">
      <c r="A43" t="inlineStr">
        <is>
          <t>SMB-focused attorney (LOI, APA)</t>
        </is>
      </c>
      <c r="B43" s="6" t="inlineStr">
        <is>
          <t>NO</t>
        </is>
      </c>
      <c r="C43" s="5">
        <f>IF(B43="","Incomplete",IF(OR(B43="NO",B43="Unknown"),"Fail","Pass"))</f>
        <v/>
      </c>
    </row>
    <row r="44">
      <c r="A44" t="inlineStr">
        <is>
          <t>QoE accountant or diligence help</t>
        </is>
      </c>
      <c r="B44" s="6" t="inlineStr">
        <is>
          <t>NO</t>
        </is>
      </c>
      <c r="C44" s="5">
        <f>IF(B44="","Incomplete",IF(OR(B44="NO",B44="Unknown"),"Fail","Pass"))</f>
        <v/>
      </c>
    </row>
    <row r="45">
      <c r="A45" t="inlineStr">
        <is>
          <t>Business broker relationship</t>
        </is>
      </c>
      <c r="B45" s="6" t="inlineStr">
        <is>
          <t>NO</t>
        </is>
      </c>
      <c r="C45" s="5">
        <f>IF(B45="","Incomplete",IF(OR(B45="NO",B45="Unknown"),"Fail","Pass"))</f>
        <v/>
      </c>
    </row>
    <row r="46">
      <c r="A46" t="inlineStr">
        <is>
          <t>SBA lender contact</t>
        </is>
      </c>
      <c r="B46" s="6" t="inlineStr">
        <is>
          <t>NO</t>
        </is>
      </c>
      <c r="C46" s="5">
        <f>IF(B46="","Incomplete",IF(OR(B46="NO",B46="Unknown"),"Fail","Pass"))</f>
        <v/>
      </c>
    </row>
    <row r="49">
      <c r="A49" s="7" t="inlineStr">
        <is>
          <t>READINESS SUMMARY</t>
        </is>
      </c>
    </row>
    <row r="50">
      <c r="A50" t="inlineStr">
        <is>
          <t>Financing documented?</t>
        </is>
      </c>
      <c r="B50" s="5">
        <f>IF(COUNTIF(C5:C9,"Fail")&gt;0,"Fail",IF(COUNTIF(C5:C9,"Incomplete")&gt;0,"Incomplete","Pass"))</f>
        <v/>
      </c>
    </row>
    <row r="51">
      <c r="A51" t="inlineStr">
        <is>
          <t>Runway documented?</t>
        </is>
      </c>
      <c r="B51" s="5">
        <f>IF(COUNTIF(C12:C15,"Fail")&gt;0,"Fail",IF(COUNTIF(C12:C15,"Incomplete")&gt;0,"Incomplete","Pass"))</f>
        <v/>
      </c>
    </row>
    <row r="52">
      <c r="A52" t="inlineStr">
        <is>
          <t>Operator willingness avg</t>
        </is>
      </c>
      <c r="B52" s="5">
        <f>IF(COUNT(B20:B26)=0,"",ROUND(AVERAGE(B20:B26),1))</f>
        <v/>
      </c>
    </row>
    <row r="53">
      <c r="A53" t="inlineStr">
        <is>
          <t>Willingness pass?</t>
        </is>
      </c>
      <c r="B53" s="5">
        <f>IF(B52="","",IF(B52&gt;=3.5,"Pass","Fail"))</f>
        <v/>
      </c>
    </row>
    <row r="54">
      <c r="A54" t="inlineStr">
        <is>
          <t>Time budget kill flag?</t>
        </is>
      </c>
      <c r="B54" s="5">
        <f>IF(AND(C39&gt;8,C37&lt;5),"YES — pause acquisition","NO")</f>
        <v/>
      </c>
    </row>
    <row r="55">
      <c r="A55" s="7" t="inlineStr">
        <is>
          <t>OVERALL</t>
        </is>
      </c>
      <c r="B55" s="5">
        <f>IF(OR(B50="Fail",B51="Fail",B53="Fail",B54="YES — pause acquisition"),"NOT YET","Review — may proceed to active search")</f>
        <v/>
      </c>
    </row>
  </sheetData>
  <dataValidations count="13">
    <dataValidation sqref="B7" showDropDown="0" showInputMessage="0" showErrorMessage="0" allowBlank="1" type="list">
      <formula1>"YES,NO,Unknown"</formula1>
    </dataValidation>
    <dataValidation sqref="B9" showDropDown="0" showInputMessage="0" showErrorMessage="0" allowBlank="1" type="list">
      <formula1>"YES,NO,Unknown"</formula1>
    </dataValidation>
    <dataValidation sqref="B20" showDropDown="0" showInputMessage="0" showErrorMessage="0" allowBlank="1" type="whole" operator="between">
      <formula1>1</formula1>
      <formula2>5</formula2>
    </dataValidation>
    <dataValidation sqref="B21" showDropDown="0" showInputMessage="0" showErrorMessage="0" allowBlank="1" type="whole" operator="between">
      <formula1>1</formula1>
      <formula2>5</formula2>
    </dataValidation>
    <dataValidation sqref="B22" showDropDown="0" showInputMessage="0" showErrorMessage="0" allowBlank="1" type="whole" operator="between">
      <formula1>1</formula1>
      <formula2>5</formula2>
    </dataValidation>
    <dataValidation sqref="B23" showDropDown="0" showInputMessage="0" showErrorMessage="0" allowBlank="1" type="whole" operator="between">
      <formula1>1</formula1>
      <formula2>5</formula2>
    </dataValidation>
    <dataValidation sqref="B24" showDropDown="0" showInputMessage="0" showErrorMessage="0" allowBlank="1" type="whole" operator="between">
      <formula1>1</formula1>
      <formula2>5</formula2>
    </dataValidation>
    <dataValidation sqref="B25" showDropDown="0" showInputMessage="0" showErrorMessage="0" allowBlank="1" type="whole" operator="between">
      <formula1>1</formula1>
      <formula2>5</formula2>
    </dataValidation>
    <dataValidation sqref="B26" showDropDown="0" showInputMessage="0" showErrorMessage="0" allowBlank="1" type="whole" operator="between">
      <formula1>1</formula1>
      <formula2>5</formula2>
    </dataValidation>
    <dataValidation sqref="B43" showDropDown="0" showInputMessage="0" showErrorMessage="0" allowBlank="1" type="list">
      <formula1>"YES,NO,Unknown"</formula1>
    </dataValidation>
    <dataValidation sqref="B44" showDropDown="0" showInputMessage="0" showErrorMessage="0" allowBlank="1" type="list">
      <formula1>"YES,NO,Unknown"</formula1>
    </dataValidation>
    <dataValidation sqref="B45" showDropDown="0" showInputMessage="0" showErrorMessage="0" allowBlank="1" type="list">
      <formula1>"YES,NO,Unknown"</formula1>
    </dataValidation>
    <dataValidation sqref="B46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20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4" customWidth="1" min="11" max="11"/>
    <col width="12" customWidth="1" min="12" max="12"/>
    <col width="30" customWidth="1" min="13" max="13"/>
    <col width="12" customWidth="1" min="14" max="14"/>
  </cols>
  <sheetData>
    <row r="1">
      <c r="A1" s="4" t="inlineStr">
        <is>
          <t>Deal ID</t>
        </is>
      </c>
      <c r="B1" s="4" t="inlineStr">
        <is>
          <t>Deal name</t>
        </is>
      </c>
      <c r="C1" s="4" t="inlineStr">
        <is>
          <t>Source</t>
        </is>
      </c>
      <c r="D1" s="4" t="inlineStr">
        <is>
          <t>Archetype</t>
        </is>
      </c>
      <c r="E1" s="4" t="inlineStr">
        <is>
          <t>Vertical</t>
        </is>
      </c>
      <c r="F1" s="4" t="inlineStr">
        <is>
          <t>Asking price ($)</t>
        </is>
      </c>
      <c r="G1" s="4" t="inlineStr">
        <is>
          <t>Seller SDE ($)</t>
        </is>
      </c>
      <c r="H1" s="4" t="inlineStr">
        <is>
          <t>Seller EBITDA ($)</t>
        </is>
      </c>
      <c r="I1" s="4" t="inlineStr">
        <is>
          <t>Normalized SDE ($)</t>
        </is>
      </c>
      <c r="J1" s="4" t="inlineStr">
        <is>
          <t>Normalized EBITDA ($)</t>
        </is>
      </c>
      <c r="K1" s="4" t="inlineStr">
        <is>
          <t>Seller financing %</t>
        </is>
      </c>
      <c r="L1" s="4" t="inlineStr">
        <is>
          <t>Status</t>
        </is>
      </c>
      <c r="M1" s="4" t="inlineStr">
        <is>
          <t>Notes</t>
        </is>
      </c>
      <c r="N1" s="4" t="inlineStr">
        <is>
          <t>Date added</t>
        </is>
      </c>
    </row>
    <row r="2">
      <c r="A2" t="inlineStr">
        <is>
          <t>D001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</row>
    <row r="3">
      <c r="A3" t="inlineStr">
        <is>
          <t>D002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</row>
    <row r="4">
      <c r="A4" t="inlineStr">
        <is>
          <t>D003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</row>
    <row r="5">
      <c r="A5" t="inlineStr">
        <is>
          <t>D004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</row>
    <row r="6">
      <c r="A6" t="inlineStr">
        <is>
          <t>D005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</sheetData>
  <dataValidations count="5">
    <dataValidation sqref="L2" showDropDown="0" showInputMessage="0" showErrorMessage="0" allowBlank="1" type="list">
      <formula1>"New,Screening,Diligence,LOI,Closed-Won,Passed,Killed"</formula1>
    </dataValidation>
    <dataValidation sqref="L3" showDropDown="0" showInputMessage="0" showErrorMessage="0" allowBlank="1" type="list">
      <formula1>"New,Screening,Diligence,LOI,Closed-Won,Passed,Killed"</formula1>
    </dataValidation>
    <dataValidation sqref="L4" showDropDown="0" showInputMessage="0" showErrorMessage="0" allowBlank="1" type="list">
      <formula1>"New,Screening,Diligence,LOI,Closed-Won,Passed,Killed"</formula1>
    </dataValidation>
    <dataValidation sqref="L5" showDropDown="0" showInputMessage="0" showErrorMessage="0" allowBlank="1" type="list">
      <formula1>"New,Screening,Diligence,LOI,Closed-Won,Passed,Killed"</formula1>
    </dataValidation>
    <dataValidation sqref="L6" showDropDown="0" showInputMessage="0" showErrorMessage="0" allowBlank="1" type="list">
      <formula1>"New,Screening,Diligence,LOI,Closed-Won,Passed,Killed"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9" max="9"/>
    <col width="16" customWidth="1" min="13" max="13"/>
    <col width="12" customWidth="1" min="16" max="16"/>
    <col width="12" customWidth="1" min="17" max="17"/>
    <col width="10" customWidth="1" min="18" max="18"/>
    <col width="10" customWidth="1" min="19" max="19"/>
  </cols>
  <sheetData>
    <row r="1">
      <c r="A1" s="4" t="inlineStr">
        <is>
          <t>Deal ID</t>
        </is>
      </c>
      <c r="B1" s="4" t="inlineStr">
        <is>
          <t>Deal name</t>
        </is>
      </c>
      <c r="C1" s="4" t="inlineStr">
        <is>
          <t>Operator fit (1-5)</t>
        </is>
      </c>
      <c r="D1" s="4" t="inlineStr">
        <is>
          <t>AI/product leverage (1-5)</t>
        </is>
      </c>
      <c r="E1" s="4" t="inlineStr">
        <is>
          <t>Financial feasibility (1-5)</t>
        </is>
      </c>
      <c r="F1" s="4" t="inlineStr">
        <is>
          <t>Owner dependence (1-5)</t>
        </is>
      </c>
      <c r="G1" s="4" t="inlineStr">
        <is>
          <t>Operating enjoyment (1-5)</t>
        </is>
      </c>
      <c r="H1" s="4" t="inlineStr">
        <is>
          <t>Strategic conflict (1-5)</t>
        </is>
      </c>
      <c r="I1" s="4" t="inlineStr">
        <is>
          <t>Weighted score</t>
        </is>
      </c>
      <c r="J1" s="4" t="inlineStr">
        <is>
          <t>Gate: improve?</t>
        </is>
      </c>
      <c r="K1" s="4" t="inlineStr">
        <is>
          <t>Gate: buy?</t>
        </is>
      </c>
      <c r="L1" s="4" t="inlineStr">
        <is>
          <t>Gate: operate 3yr?</t>
        </is>
      </c>
      <c r="M1" s="4" t="inlineStr">
        <is>
          <t>Day-to-day litmus?</t>
        </is>
      </c>
      <c r="N1" s="4" t="inlineStr">
        <is>
          <t>Financing documented?</t>
        </is>
      </c>
      <c r="O1" s="4" t="inlineStr">
        <is>
          <t>Path B displaced?</t>
        </is>
      </c>
      <c r="P1" s="4" t="inlineStr">
        <is>
          <t>Risk red flags (#)</t>
        </is>
      </c>
      <c r="Q1" s="4" t="inlineStr">
        <is>
          <t>All gates pass?</t>
        </is>
      </c>
      <c r="R1" s="4" t="inlineStr">
        <is>
          <t>Hard fail?</t>
        </is>
      </c>
      <c r="S1" s="4" t="inlineStr">
        <is>
          <t>Decision</t>
        </is>
      </c>
    </row>
    <row r="2" hidden="1">
      <c r="A2" t="inlineStr"/>
      <c r="B2" t="inlineStr">
        <is>
          <t>Weights</t>
        </is>
      </c>
      <c r="C2" t="n">
        <v>0.25</v>
      </c>
      <c r="D2" t="n">
        <v>0.2</v>
      </c>
      <c r="E2" t="n">
        <v>0.25</v>
      </c>
      <c r="F2" t="n">
        <v>0.15</v>
      </c>
      <c r="G2" t="n">
        <v>0.1</v>
      </c>
      <c r="H2" t="n">
        <v>0.05</v>
      </c>
    </row>
    <row r="3">
      <c r="A3" t="inlineStr">
        <is>
          <t>D001</t>
        </is>
      </c>
      <c r="B3" s="6" t="n"/>
      <c r="C3" s="6" t="n"/>
      <c r="D3" s="6" t="n"/>
      <c r="E3" s="6" t="n"/>
      <c r="F3" s="6" t="n"/>
      <c r="G3" s="6" t="n"/>
      <c r="H3" s="6" t="n"/>
      <c r="I3" s="9">
        <f>IF(COUNT(C3:H3)&lt;6,"",ROUND(SUMPRODUCT(C3:H3,$C$2:$H$2)/SUM($C$2:$H$2),2))</f>
        <v/>
      </c>
      <c r="J3" s="6" t="n"/>
      <c r="K3" s="6" t="n"/>
      <c r="L3" s="6" t="n"/>
      <c r="M3" s="6" t="n"/>
      <c r="N3" s="6" t="n"/>
      <c r="O3" s="6" t="n"/>
      <c r="P3" s="5">
        <f>'06_Business_Risk_Diligence'!V3</f>
        <v/>
      </c>
      <c r="Q3" s="5">
        <f>IF(COUNTIF(J3:O3,"NO")&gt;0,"NO","YES")</f>
        <v/>
      </c>
      <c r="R3" s="5">
        <f>IF(OR(M3="NO",N3="NO",O3="YES",P3&gt;=3),"YES","NO")</f>
        <v/>
      </c>
      <c r="S3" s="5">
        <f>IF(AND(I3&gt;=3.5,Q3="YES",R3="NO"),"Pursue",IF(OR(I3&lt;2.5,R3="YES"),"Kill","Watch"))</f>
        <v/>
      </c>
    </row>
    <row r="4">
      <c r="A4" t="inlineStr">
        <is>
          <t>D002</t>
        </is>
      </c>
      <c r="B4" s="6" t="n"/>
      <c r="C4" s="6" t="n"/>
      <c r="D4" s="6" t="n"/>
      <c r="E4" s="6" t="n"/>
      <c r="F4" s="6" t="n"/>
      <c r="G4" s="6" t="n"/>
      <c r="H4" s="6" t="n"/>
      <c r="I4" s="9">
        <f>IF(COUNT(C4:H4)&lt;6,"",ROUND(SUMPRODUCT(C4:H4,$C$2:$H$2)/SUM($C$2:$H$2),2))</f>
        <v/>
      </c>
      <c r="J4" s="6" t="n"/>
      <c r="K4" s="6" t="n"/>
      <c r="L4" s="6" t="n"/>
      <c r="M4" s="6" t="n"/>
      <c r="N4" s="6" t="n"/>
      <c r="O4" s="6" t="n"/>
      <c r="P4" s="5">
        <f>'06_Business_Risk_Diligence'!V4</f>
        <v/>
      </c>
      <c r="Q4" s="5">
        <f>IF(COUNTIF(J4:O4,"NO")&gt;0,"NO","YES")</f>
        <v/>
      </c>
      <c r="R4" s="5">
        <f>IF(OR(M4="NO",N4="NO",O4="YES",P4&gt;=3),"YES","NO")</f>
        <v/>
      </c>
      <c r="S4" s="5">
        <f>IF(AND(I4&gt;=3.5,Q4="YES",R4="NO"),"Pursue",IF(OR(I4&lt;2.5,R4="YES"),"Kill","Watch"))</f>
        <v/>
      </c>
    </row>
    <row r="5">
      <c r="A5" t="inlineStr">
        <is>
          <t>D003</t>
        </is>
      </c>
      <c r="B5" s="6" t="n"/>
      <c r="C5" s="6" t="n"/>
      <c r="D5" s="6" t="n"/>
      <c r="E5" s="6" t="n"/>
      <c r="F5" s="6" t="n"/>
      <c r="G5" s="6" t="n"/>
      <c r="H5" s="6" t="n"/>
      <c r="I5" s="9">
        <f>IF(COUNT(C5:H5)&lt;6,"",ROUND(SUMPRODUCT(C5:H5,$C$2:$H$2)/SUM($C$2:$H$2),2))</f>
        <v/>
      </c>
      <c r="J5" s="6" t="n"/>
      <c r="K5" s="6" t="n"/>
      <c r="L5" s="6" t="n"/>
      <c r="M5" s="6" t="n"/>
      <c r="N5" s="6" t="n"/>
      <c r="O5" s="6" t="n"/>
      <c r="P5" s="5">
        <f>'06_Business_Risk_Diligence'!V5</f>
        <v/>
      </c>
      <c r="Q5" s="5">
        <f>IF(COUNTIF(J5:O5,"NO")&gt;0,"NO","YES")</f>
        <v/>
      </c>
      <c r="R5" s="5">
        <f>IF(OR(M5="NO",N5="NO",O5="YES",P5&gt;=3),"YES","NO")</f>
        <v/>
      </c>
      <c r="S5" s="5">
        <f>IF(AND(I5&gt;=3.5,Q5="YES",R5="NO"),"Pursue",IF(OR(I5&lt;2.5,R5="YES"),"Kill","Watch"))</f>
        <v/>
      </c>
    </row>
    <row r="6">
      <c r="A6" t="inlineStr">
        <is>
          <t>D004</t>
        </is>
      </c>
      <c r="B6" s="6" t="n"/>
      <c r="C6" s="6" t="n"/>
      <c r="D6" s="6" t="n"/>
      <c r="E6" s="6" t="n"/>
      <c r="F6" s="6" t="n"/>
      <c r="G6" s="6" t="n"/>
      <c r="H6" s="6" t="n"/>
      <c r="I6" s="9">
        <f>IF(COUNT(C6:H6)&lt;6,"",ROUND(SUMPRODUCT(C6:H6,$C$2:$H$2)/SUM($C$2:$H$2),2))</f>
        <v/>
      </c>
      <c r="J6" s="6" t="n"/>
      <c r="K6" s="6" t="n"/>
      <c r="L6" s="6" t="n"/>
      <c r="M6" s="6" t="n"/>
      <c r="N6" s="6" t="n"/>
      <c r="O6" s="6" t="n"/>
      <c r="P6" s="5">
        <f>'06_Business_Risk_Diligence'!V6</f>
        <v/>
      </c>
      <c r="Q6" s="5">
        <f>IF(COUNTIF(J6:O6,"NO")&gt;0,"NO","YES")</f>
        <v/>
      </c>
      <c r="R6" s="5">
        <f>IF(OR(M6="NO",N6="NO",O6="YES",P6&gt;=3),"YES","NO")</f>
        <v/>
      </c>
      <c r="S6" s="5">
        <f>IF(AND(I6&gt;=3.5,Q6="YES",R6="NO"),"Pursue",IF(OR(I6&lt;2.5,R6="YES"),"Kill","Watch"))</f>
        <v/>
      </c>
    </row>
    <row r="7">
      <c r="A7" t="inlineStr">
        <is>
          <t>D005</t>
        </is>
      </c>
      <c r="B7" s="6" t="n"/>
      <c r="C7" s="6" t="n"/>
      <c r="D7" s="6" t="n"/>
      <c r="E7" s="6" t="n"/>
      <c r="F7" s="6" t="n"/>
      <c r="G7" s="6" t="n"/>
      <c r="H7" s="6" t="n"/>
      <c r="I7" s="9">
        <f>IF(COUNT(C7:H7)&lt;6,"",ROUND(SUMPRODUCT(C7:H7,$C$2:$H$2)/SUM($C$2:$H$2),2))</f>
        <v/>
      </c>
      <c r="J7" s="6" t="n"/>
      <c r="K7" s="6" t="n"/>
      <c r="L7" s="6" t="n"/>
      <c r="M7" s="6" t="n"/>
      <c r="N7" s="6" t="n"/>
      <c r="O7" s="6" t="n"/>
      <c r="P7" s="5">
        <f>'06_Business_Risk_Diligence'!V7</f>
        <v/>
      </c>
      <c r="Q7" s="5">
        <f>IF(COUNTIF(J7:O7,"NO")&gt;0,"NO","YES")</f>
        <v/>
      </c>
      <c r="R7" s="5">
        <f>IF(OR(M7="NO",N7="NO",O7="YES",P7&gt;=3),"YES","NO")</f>
        <v/>
      </c>
      <c r="S7" s="5">
        <f>IF(AND(I7&gt;=3.5,Q7="YES",R7="NO"),"Pursue",IF(OR(I7&lt;2.5,R7="YES"),"Kill","Watch"))</f>
        <v/>
      </c>
    </row>
  </sheetData>
  <dataValidations count="10">
    <dataValidation sqref="C3:H3" showDropDown="0" showInputMessage="0" showErrorMessage="0" allowBlank="1" type="whole" operator="between">
      <formula1>1</formula1>
      <formula2>5</formula2>
    </dataValidation>
    <dataValidation sqref="J3:O3" showDropDown="0" showInputMessage="0" showErrorMessage="0" allowBlank="1" type="list">
      <formula1>"YES,NO,Unknown"</formula1>
    </dataValidation>
    <dataValidation sqref="C4:H4" showDropDown="0" showInputMessage="0" showErrorMessage="0" allowBlank="1" type="whole" operator="between">
      <formula1>1</formula1>
      <formula2>5</formula2>
    </dataValidation>
    <dataValidation sqref="J4:O4" showDropDown="0" showInputMessage="0" showErrorMessage="0" allowBlank="1" type="list">
      <formula1>"YES,NO,Unknown"</formula1>
    </dataValidation>
    <dataValidation sqref="C5:H5" showDropDown="0" showInputMessage="0" showErrorMessage="0" allowBlank="1" type="whole" operator="between">
      <formula1>1</formula1>
      <formula2>5</formula2>
    </dataValidation>
    <dataValidation sqref="J5:O5" showDropDown="0" showInputMessage="0" showErrorMessage="0" allowBlank="1" type="list">
      <formula1>"YES,NO,Unknown"</formula1>
    </dataValidation>
    <dataValidation sqref="C6:H6" showDropDown="0" showInputMessage="0" showErrorMessage="0" allowBlank="1" type="whole" operator="between">
      <formula1>1</formula1>
      <formula2>5</formula2>
    </dataValidation>
    <dataValidation sqref="J6:O6" showDropDown="0" showInputMessage="0" showErrorMessage="0" allowBlank="1" type="list">
      <formula1>"YES,NO,Unknown"</formula1>
    </dataValidation>
    <dataValidation sqref="C7:H7" showDropDown="0" showInputMessage="0" showErrorMessage="0" allowBlank="1" type="whole" operator="between">
      <formula1>1</formula1>
      <formula2>5</formula2>
    </dataValidation>
    <dataValidation sqref="J7:O7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22" max="22"/>
    <col width="10" customWidth="1" min="23" max="23"/>
  </cols>
  <sheetData>
    <row r="1">
      <c r="A1" s="4" t="inlineStr">
        <is>
          <t>Deal ID</t>
        </is>
      </c>
      <c r="B1" s="4" t="inlineStr">
        <is>
          <t>Deal name</t>
        </is>
      </c>
      <c r="C1" s="4" t="inlineStr">
        <is>
          <t>Owner is primary seller/dispatcher?</t>
        </is>
      </c>
      <c r="D1" s="4" t="inlineStr">
        <is>
          <t>No second-in-command?</t>
        </is>
      </c>
      <c r="E1" s="4" t="inlineStr">
        <is>
          <t>Key employee departure risk?</t>
        </is>
      </c>
      <c r="F1" s="4" t="inlineStr">
        <is>
          <t>High turnover / heroics?</t>
        </is>
      </c>
      <c r="G1" s="4" t="inlineStr">
        <is>
          <t>Underpaid relatives or misclassified contractors?</t>
        </is>
      </c>
      <c r="H1" s="4" t="inlineStr">
        <is>
          <t>SOP / tribal knowledge risk?</t>
        </is>
      </c>
      <c r="I1" s="4" t="inlineStr">
        <is>
          <t>Labor burden / OT exposure?</t>
        </is>
      </c>
      <c r="J1" s="4" t="inlineStr">
        <is>
          <t>Cannot explain gross margin by job type?</t>
        </is>
      </c>
      <c r="K1" s="4" t="inlineStr">
        <is>
          <t>Poor cash conversion?</t>
        </is>
      </c>
      <c r="L1" s="4" t="inlineStr">
        <is>
          <t>Systems messy and data absent?</t>
        </is>
      </c>
      <c r="M1" s="4" t="inlineStr">
        <is>
          <t>Deferred maintenance / claims?</t>
        </is>
      </c>
      <c r="N1" s="4" t="inlineStr">
        <is>
          <t>Top customer &gt; 20% revenue?</t>
        </is>
      </c>
      <c r="O1" s="4" t="inlineStr">
        <is>
          <t>Top 3 customers &gt; 40%?</t>
        </is>
      </c>
      <c r="P1" s="4" t="inlineStr">
        <is>
          <t>Founder owns all relationships?</t>
        </is>
      </c>
      <c r="Q1" s="4" t="inlineStr">
        <is>
          <t>Revenue re-sold each cycle?</t>
        </is>
      </c>
      <c r="R1" s="4" t="inlineStr">
        <is>
          <t>Paid ads with unclear CAC?</t>
        </is>
      </c>
      <c r="S1" s="4" t="inlineStr">
        <is>
          <t>Ops trust problems in reviews?</t>
        </is>
      </c>
      <c r="T1" s="4" t="inlineStr">
        <is>
          <t>Add-backs low confidence?</t>
        </is>
      </c>
      <c r="U1" s="4" t="inlineStr">
        <is>
          <t>Working capital surprise?</t>
        </is>
      </c>
      <c r="V1" s="4" t="inlineStr">
        <is>
          <t>Transition &lt; 60 days seller support?</t>
        </is>
      </c>
      <c r="W1" s="4" t="inlineStr">
        <is>
          <t>Red flag count</t>
        </is>
      </c>
      <c r="X1" s="4" t="inlineStr">
        <is>
          <t>Risk band</t>
        </is>
      </c>
    </row>
    <row r="2">
      <c r="A2" t="inlineStr">
        <is>
          <t>D001</t>
        </is>
      </c>
      <c r="B2" s="6" t="inlineStr"/>
      <c r="C2" s="6" t="inlineStr"/>
      <c r="D2" s="6" t="inlineStr"/>
      <c r="E2" s="6" t="inlineStr"/>
      <c r="F2" s="6" t="inlineStr"/>
      <c r="G2" s="6" t="inlineStr"/>
      <c r="H2" s="6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5">
        <f>COUNTIF(C2:U2,"YES")</f>
        <v/>
      </c>
      <c r="W2" s="5">
        <f>IF(V2&gt;=5,"High",IF(V2&gt;=2,"Medium","Low"))</f>
        <v/>
      </c>
    </row>
    <row r="3">
      <c r="A3" t="inlineStr">
        <is>
          <t>D002</t>
        </is>
      </c>
      <c r="B3" s="6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5">
        <f>COUNTIF(C3:U3,"YES")</f>
        <v/>
      </c>
      <c r="W3" s="5">
        <f>IF(V3&gt;=5,"High",IF(V3&gt;=2,"Medium","Low"))</f>
        <v/>
      </c>
    </row>
    <row r="4">
      <c r="A4" t="inlineStr">
        <is>
          <t>D003</t>
        </is>
      </c>
      <c r="B4" s="6" t="inlineStr"/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/>
      <c r="T4" s="6" t="inlineStr"/>
      <c r="U4" s="6" t="inlineStr"/>
      <c r="V4" s="5">
        <f>COUNTIF(C4:U4,"YES")</f>
        <v/>
      </c>
      <c r="W4" s="5">
        <f>IF(V4&gt;=5,"High",IF(V4&gt;=2,"Medium","Low"))</f>
        <v/>
      </c>
    </row>
    <row r="5">
      <c r="A5" t="inlineStr">
        <is>
          <t>D004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5">
        <f>COUNTIF(C5:U5,"YES")</f>
        <v/>
      </c>
      <c r="W5" s="5">
        <f>IF(V5&gt;=5,"High",IF(V5&gt;=2,"Medium","Low"))</f>
        <v/>
      </c>
    </row>
    <row r="6">
      <c r="A6" t="inlineStr">
        <is>
          <t>D005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5">
        <f>COUNTIF(C6:U6,"YES")</f>
        <v/>
      </c>
      <c r="W6" s="5">
        <f>IF(V6&gt;=5,"High",IF(V6&gt;=2,"Medium","Low"))</f>
        <v/>
      </c>
    </row>
  </sheetData>
  <dataValidations count="95">
    <dataValidation sqref="C2" showDropDown="0" showInputMessage="0" showErrorMessage="0" allowBlank="1" type="list">
      <formula1>"YES,NO,Unknown"</formula1>
    </dataValidation>
    <dataValidation sqref="D2" showDropDown="0" showInputMessage="0" showErrorMessage="0" allowBlank="1" type="list">
      <formula1>"YES,NO,Unknown"</formula1>
    </dataValidation>
    <dataValidation sqref="E2" showDropDown="0" showInputMessage="0" showErrorMessage="0" allowBlank="1" type="list">
      <formula1>"YES,NO,Unknown"</formula1>
    </dataValidation>
    <dataValidation sqref="F2" showDropDown="0" showInputMessage="0" showErrorMessage="0" allowBlank="1" type="list">
      <formula1>"YES,NO,Unknown"</formula1>
    </dataValidation>
    <dataValidation sqref="G2" showDropDown="0" showInputMessage="0" showErrorMessage="0" allowBlank="1" type="list">
      <formula1>"YES,NO,Unknown"</formula1>
    </dataValidation>
    <dataValidation sqref="H2" showDropDown="0" showInputMessage="0" showErrorMessage="0" allowBlank="1" type="list">
      <formula1>"YES,NO,Unknown"</formula1>
    </dataValidation>
    <dataValidation sqref="I2" showDropDown="0" showInputMessage="0" showErrorMessage="0" allowBlank="1" type="list">
      <formula1>"YES,NO,Unknown"</formula1>
    </dataValidation>
    <dataValidation sqref="J2" showDropDown="0" showInputMessage="0" showErrorMessage="0" allowBlank="1" type="list">
      <formula1>"YES,NO,Unknown"</formula1>
    </dataValidation>
    <dataValidation sqref="K2" showDropDown="0" showInputMessage="0" showErrorMessage="0" allowBlank="1" type="list">
      <formula1>"YES,NO,Unknown"</formula1>
    </dataValidation>
    <dataValidation sqref="L2" showDropDown="0" showInputMessage="0" showErrorMessage="0" allowBlank="1" type="list">
      <formula1>"YES,NO,Unknown"</formula1>
    </dataValidation>
    <dataValidation sqref="M2" showDropDown="0" showInputMessage="0" showErrorMessage="0" allowBlank="1" type="list">
      <formula1>"YES,NO,Unknown"</formula1>
    </dataValidation>
    <dataValidation sqref="N2" showDropDown="0" showInputMessage="0" showErrorMessage="0" allowBlank="1" type="list">
      <formula1>"YES,NO,Unknown"</formula1>
    </dataValidation>
    <dataValidation sqref="O2" showDropDown="0" showInputMessage="0" showErrorMessage="0" allowBlank="1" type="list">
      <formula1>"YES,NO,Unknown"</formula1>
    </dataValidation>
    <dataValidation sqref="P2" showDropDown="0" showInputMessage="0" showErrorMessage="0" allowBlank="1" type="list">
      <formula1>"YES,NO,Unknown"</formula1>
    </dataValidation>
    <dataValidation sqref="Q2" showDropDown="0" showInputMessage="0" showErrorMessage="0" allowBlank="1" type="list">
      <formula1>"YES,NO,Unknown"</formula1>
    </dataValidation>
    <dataValidation sqref="R2" showDropDown="0" showInputMessage="0" showErrorMessage="0" allowBlank="1" type="list">
      <formula1>"YES,NO,Unknown"</formula1>
    </dataValidation>
    <dataValidation sqref="S2" showDropDown="0" showInputMessage="0" showErrorMessage="0" allowBlank="1" type="list">
      <formula1>"YES,NO,Unknown"</formula1>
    </dataValidation>
    <dataValidation sqref="T2" showDropDown="0" showInputMessage="0" showErrorMessage="0" allowBlank="1" type="list">
      <formula1>"YES,NO,Unknown"</formula1>
    </dataValidation>
    <dataValidation sqref="U2" showDropDown="0" showInputMessage="0" showErrorMessage="0" allowBlank="1" type="list">
      <formula1>"YES,NO,Unknown"</formula1>
    </dataValidation>
    <dataValidation sqref="C3" showDropDown="0" showInputMessage="0" showErrorMessage="0" allowBlank="1" type="list">
      <formula1>"YES,NO,Unknown"</formula1>
    </dataValidation>
    <dataValidation sqref="D3" showDropDown="0" showInputMessage="0" showErrorMessage="0" allowBlank="1" type="list">
      <formula1>"YES,NO,Unknown"</formula1>
    </dataValidation>
    <dataValidation sqref="E3" showDropDown="0" showInputMessage="0" showErrorMessage="0" allowBlank="1" type="list">
      <formula1>"YES,NO,Unknown"</formula1>
    </dataValidation>
    <dataValidation sqref="F3" showDropDown="0" showInputMessage="0" showErrorMessage="0" allowBlank="1" type="list">
      <formula1>"YES,NO,Unknown"</formula1>
    </dataValidation>
    <dataValidation sqref="G3" showDropDown="0" showInputMessage="0" showErrorMessage="0" allowBlank="1" type="list">
      <formula1>"YES,NO,Unknown"</formula1>
    </dataValidation>
    <dataValidation sqref="H3" showDropDown="0" showInputMessage="0" showErrorMessage="0" allowBlank="1" type="list">
      <formula1>"YES,NO,Unknown"</formula1>
    </dataValidation>
    <dataValidation sqref="I3" showDropDown="0" showInputMessage="0" showErrorMessage="0" allowBlank="1" type="list">
      <formula1>"YES,NO,Unknown"</formula1>
    </dataValidation>
    <dataValidation sqref="J3" showDropDown="0" showInputMessage="0" showErrorMessage="0" allowBlank="1" type="list">
      <formula1>"YES,NO,Unknown"</formula1>
    </dataValidation>
    <dataValidation sqref="K3" showDropDown="0" showInputMessage="0" showErrorMessage="0" allowBlank="1" type="list">
      <formula1>"YES,NO,Unknown"</formula1>
    </dataValidation>
    <dataValidation sqref="L3" showDropDown="0" showInputMessage="0" showErrorMessage="0" allowBlank="1" type="list">
      <formula1>"YES,NO,Unknown"</formula1>
    </dataValidation>
    <dataValidation sqref="M3" showDropDown="0" showInputMessage="0" showErrorMessage="0" allowBlank="1" type="list">
      <formula1>"YES,NO,Unknown"</formula1>
    </dataValidation>
    <dataValidation sqref="N3" showDropDown="0" showInputMessage="0" showErrorMessage="0" allowBlank="1" type="list">
      <formula1>"YES,NO,Unknown"</formula1>
    </dataValidation>
    <dataValidation sqref="O3" showDropDown="0" showInputMessage="0" showErrorMessage="0" allowBlank="1" type="list">
      <formula1>"YES,NO,Unknown"</formula1>
    </dataValidation>
    <dataValidation sqref="P3" showDropDown="0" showInputMessage="0" showErrorMessage="0" allowBlank="1" type="list">
      <formula1>"YES,NO,Unknown"</formula1>
    </dataValidation>
    <dataValidation sqref="Q3" showDropDown="0" showInputMessage="0" showErrorMessage="0" allowBlank="1" type="list">
      <formula1>"YES,NO,Unknown"</formula1>
    </dataValidation>
    <dataValidation sqref="R3" showDropDown="0" showInputMessage="0" showErrorMessage="0" allowBlank="1" type="list">
      <formula1>"YES,NO,Unknown"</formula1>
    </dataValidation>
    <dataValidation sqref="S3" showDropDown="0" showInputMessage="0" showErrorMessage="0" allowBlank="1" type="list">
      <formula1>"YES,NO,Unknown"</formula1>
    </dataValidation>
    <dataValidation sqref="T3" showDropDown="0" showInputMessage="0" showErrorMessage="0" allowBlank="1" type="list">
      <formula1>"YES,NO,Unknown"</formula1>
    </dataValidation>
    <dataValidation sqref="U3" showDropDown="0" showInputMessage="0" showErrorMessage="0" allowBlank="1" type="list">
      <formula1>"YES,NO,Unknown"</formula1>
    </dataValidation>
    <dataValidation sqref="C4" showDropDown="0" showInputMessage="0" showErrorMessage="0" allowBlank="1" type="list">
      <formula1>"YES,NO,Unknown"</formula1>
    </dataValidation>
    <dataValidation sqref="D4" showDropDown="0" showInputMessage="0" showErrorMessage="0" allowBlank="1" type="list">
      <formula1>"YES,NO,Unknown"</formula1>
    </dataValidation>
    <dataValidation sqref="E4" showDropDown="0" showInputMessage="0" showErrorMessage="0" allowBlank="1" type="list">
      <formula1>"YES,NO,Unknown"</formula1>
    </dataValidation>
    <dataValidation sqref="F4" showDropDown="0" showInputMessage="0" showErrorMessage="0" allowBlank="1" type="list">
      <formula1>"YES,NO,Unknown"</formula1>
    </dataValidation>
    <dataValidation sqref="G4" showDropDown="0" showInputMessage="0" showErrorMessage="0" allowBlank="1" type="list">
      <formula1>"YES,NO,Unknown"</formula1>
    </dataValidation>
    <dataValidation sqref="H4" showDropDown="0" showInputMessage="0" showErrorMessage="0" allowBlank="1" type="list">
      <formula1>"YES,NO,Unknown"</formula1>
    </dataValidation>
    <dataValidation sqref="I4" showDropDown="0" showInputMessage="0" showErrorMessage="0" allowBlank="1" type="list">
      <formula1>"YES,NO,Unknown"</formula1>
    </dataValidation>
    <dataValidation sqref="J4" showDropDown="0" showInputMessage="0" showErrorMessage="0" allowBlank="1" type="list">
      <formula1>"YES,NO,Unknown"</formula1>
    </dataValidation>
    <dataValidation sqref="K4" showDropDown="0" showInputMessage="0" showErrorMessage="0" allowBlank="1" type="list">
      <formula1>"YES,NO,Unknown"</formula1>
    </dataValidation>
    <dataValidation sqref="L4" showDropDown="0" showInputMessage="0" showErrorMessage="0" allowBlank="1" type="list">
      <formula1>"YES,NO,Unknown"</formula1>
    </dataValidation>
    <dataValidation sqref="M4" showDropDown="0" showInputMessage="0" showErrorMessage="0" allowBlank="1" type="list">
      <formula1>"YES,NO,Unknown"</formula1>
    </dataValidation>
    <dataValidation sqref="N4" showDropDown="0" showInputMessage="0" showErrorMessage="0" allowBlank="1" type="list">
      <formula1>"YES,NO,Unknown"</formula1>
    </dataValidation>
    <dataValidation sqref="O4" showDropDown="0" showInputMessage="0" showErrorMessage="0" allowBlank="1" type="list">
      <formula1>"YES,NO,Unknown"</formula1>
    </dataValidation>
    <dataValidation sqref="P4" showDropDown="0" showInputMessage="0" showErrorMessage="0" allowBlank="1" type="list">
      <formula1>"YES,NO,Unknown"</formula1>
    </dataValidation>
    <dataValidation sqref="Q4" showDropDown="0" showInputMessage="0" showErrorMessage="0" allowBlank="1" type="list">
      <formula1>"YES,NO,Unknown"</formula1>
    </dataValidation>
    <dataValidation sqref="R4" showDropDown="0" showInputMessage="0" showErrorMessage="0" allowBlank="1" type="list">
      <formula1>"YES,NO,Unknown"</formula1>
    </dataValidation>
    <dataValidation sqref="S4" showDropDown="0" showInputMessage="0" showErrorMessage="0" allowBlank="1" type="list">
      <formula1>"YES,NO,Unknown"</formula1>
    </dataValidation>
    <dataValidation sqref="T4" showDropDown="0" showInputMessage="0" showErrorMessage="0" allowBlank="1" type="list">
      <formula1>"YES,NO,Unknown"</formula1>
    </dataValidation>
    <dataValidation sqref="U4" showDropDown="0" showInputMessage="0" showErrorMessage="0" allowBlank="1" type="list">
      <formula1>"YES,NO,Unknown"</formula1>
    </dataValidation>
    <dataValidation sqref="C5" showDropDown="0" showInputMessage="0" showErrorMessage="0" allowBlank="1" type="list">
      <formula1>"YES,NO,Unknown"</formula1>
    </dataValidation>
    <dataValidation sqref="D5" showDropDown="0" showInputMessage="0" showErrorMessage="0" allowBlank="1" type="list">
      <formula1>"YES,NO,Unknown"</formula1>
    </dataValidation>
    <dataValidation sqref="E5" showDropDown="0" showInputMessage="0" showErrorMessage="0" allowBlank="1" type="list">
      <formula1>"YES,NO,Unknown"</formula1>
    </dataValidation>
    <dataValidation sqref="F5" showDropDown="0" showInputMessage="0" showErrorMessage="0" allowBlank="1" type="list">
      <formula1>"YES,NO,Unknown"</formula1>
    </dataValidation>
    <dataValidation sqref="G5" showDropDown="0" showInputMessage="0" showErrorMessage="0" allowBlank="1" type="list">
      <formula1>"YES,NO,Unknown"</formula1>
    </dataValidation>
    <dataValidation sqref="H5" showDropDown="0" showInputMessage="0" showErrorMessage="0" allowBlank="1" type="list">
      <formula1>"YES,NO,Unknown"</formula1>
    </dataValidation>
    <dataValidation sqref="I5" showDropDown="0" showInputMessage="0" showErrorMessage="0" allowBlank="1" type="list">
      <formula1>"YES,NO,Unknown"</formula1>
    </dataValidation>
    <dataValidation sqref="J5" showDropDown="0" showInputMessage="0" showErrorMessage="0" allowBlank="1" type="list">
      <formula1>"YES,NO,Unknown"</formula1>
    </dataValidation>
    <dataValidation sqref="K5" showDropDown="0" showInputMessage="0" showErrorMessage="0" allowBlank="1" type="list">
      <formula1>"YES,NO,Unknown"</formula1>
    </dataValidation>
    <dataValidation sqref="L5" showDropDown="0" showInputMessage="0" showErrorMessage="0" allowBlank="1" type="list">
      <formula1>"YES,NO,Unknown"</formula1>
    </dataValidation>
    <dataValidation sqref="M5" showDropDown="0" showInputMessage="0" showErrorMessage="0" allowBlank="1" type="list">
      <formula1>"YES,NO,Unknown"</formula1>
    </dataValidation>
    <dataValidation sqref="N5" showDropDown="0" showInputMessage="0" showErrorMessage="0" allowBlank="1" type="list">
      <formula1>"YES,NO,Unknown"</formula1>
    </dataValidation>
    <dataValidation sqref="O5" showDropDown="0" showInputMessage="0" showErrorMessage="0" allowBlank="1" type="list">
      <formula1>"YES,NO,Unknown"</formula1>
    </dataValidation>
    <dataValidation sqref="P5" showDropDown="0" showInputMessage="0" showErrorMessage="0" allowBlank="1" type="list">
      <formula1>"YES,NO,Unknown"</formula1>
    </dataValidation>
    <dataValidation sqref="Q5" showDropDown="0" showInputMessage="0" showErrorMessage="0" allowBlank="1" type="list">
      <formula1>"YES,NO,Unknown"</formula1>
    </dataValidation>
    <dataValidation sqref="R5" showDropDown="0" showInputMessage="0" showErrorMessage="0" allowBlank="1" type="list">
      <formula1>"YES,NO,Unknown"</formula1>
    </dataValidation>
    <dataValidation sqref="S5" showDropDown="0" showInputMessage="0" showErrorMessage="0" allowBlank="1" type="list">
      <formula1>"YES,NO,Unknown"</formula1>
    </dataValidation>
    <dataValidation sqref="T5" showDropDown="0" showInputMessage="0" showErrorMessage="0" allowBlank="1" type="list">
      <formula1>"YES,NO,Unknown"</formula1>
    </dataValidation>
    <dataValidation sqref="U5" showDropDown="0" showInputMessage="0" showErrorMessage="0" allowBlank="1" type="list">
      <formula1>"YES,NO,Unknown"</formula1>
    </dataValidation>
    <dataValidation sqref="C6" showDropDown="0" showInputMessage="0" showErrorMessage="0" allowBlank="1" type="list">
      <formula1>"YES,NO,Unknown"</formula1>
    </dataValidation>
    <dataValidation sqref="D6" showDropDown="0" showInputMessage="0" showErrorMessage="0" allowBlank="1" type="list">
      <formula1>"YES,NO,Unknown"</formula1>
    </dataValidation>
    <dataValidation sqref="E6" showDropDown="0" showInputMessage="0" showErrorMessage="0" allowBlank="1" type="list">
      <formula1>"YES,NO,Unknown"</formula1>
    </dataValidation>
    <dataValidation sqref="F6" showDropDown="0" showInputMessage="0" showErrorMessage="0" allowBlank="1" type="list">
      <formula1>"YES,NO,Unknown"</formula1>
    </dataValidation>
    <dataValidation sqref="G6" showDropDown="0" showInputMessage="0" showErrorMessage="0" allowBlank="1" type="list">
      <formula1>"YES,NO,Unknown"</formula1>
    </dataValidation>
    <dataValidation sqref="H6" showDropDown="0" showInputMessage="0" showErrorMessage="0" allowBlank="1" type="list">
      <formula1>"YES,NO,Unknown"</formula1>
    </dataValidation>
    <dataValidation sqref="I6" showDropDown="0" showInputMessage="0" showErrorMessage="0" allowBlank="1" type="list">
      <formula1>"YES,NO,Unknown"</formula1>
    </dataValidation>
    <dataValidation sqref="J6" showDropDown="0" showInputMessage="0" showErrorMessage="0" allowBlank="1" type="list">
      <formula1>"YES,NO,Unknown"</formula1>
    </dataValidation>
    <dataValidation sqref="K6" showDropDown="0" showInputMessage="0" showErrorMessage="0" allowBlank="1" type="list">
      <formula1>"YES,NO,Unknown"</formula1>
    </dataValidation>
    <dataValidation sqref="L6" showDropDown="0" showInputMessage="0" showErrorMessage="0" allowBlank="1" type="list">
      <formula1>"YES,NO,Unknown"</formula1>
    </dataValidation>
    <dataValidation sqref="M6" showDropDown="0" showInputMessage="0" showErrorMessage="0" allowBlank="1" type="list">
      <formula1>"YES,NO,Unknown"</formula1>
    </dataValidation>
    <dataValidation sqref="N6" showDropDown="0" showInputMessage="0" showErrorMessage="0" allowBlank="1" type="list">
      <formula1>"YES,NO,Unknown"</formula1>
    </dataValidation>
    <dataValidation sqref="O6" showDropDown="0" showInputMessage="0" showErrorMessage="0" allowBlank="1" type="list">
      <formula1>"YES,NO,Unknown"</formula1>
    </dataValidation>
    <dataValidation sqref="P6" showDropDown="0" showInputMessage="0" showErrorMessage="0" allowBlank="1" type="list">
      <formula1>"YES,NO,Unknown"</formula1>
    </dataValidation>
    <dataValidation sqref="Q6" showDropDown="0" showInputMessage="0" showErrorMessage="0" allowBlank="1" type="list">
      <formula1>"YES,NO,Unknown"</formula1>
    </dataValidation>
    <dataValidation sqref="R6" showDropDown="0" showInputMessage="0" showErrorMessage="0" allowBlank="1" type="list">
      <formula1>"YES,NO,Unknown"</formula1>
    </dataValidation>
    <dataValidation sqref="S6" showDropDown="0" showInputMessage="0" showErrorMessage="0" allowBlank="1" type="list">
      <formula1>"YES,NO,Unknown"</formula1>
    </dataValidation>
    <dataValidation sqref="T6" showDropDown="0" showInputMessage="0" showErrorMessage="0" allowBlank="1" type="list">
      <formula1>"YES,NO,Unknown"</formula1>
    </dataValidation>
    <dataValidation sqref="U6" showDropDown="0" showInputMessage="0" showErrorMessage="0" allowBlank="1" type="list">
      <formula1>"YES,NO,Unknown"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5" max="5"/>
    <col width="36" customWidth="1" min="6" max="6"/>
    <col width="36" customWidth="1" min="7" max="7"/>
    <col width="24" customWidth="1" min="8" max="8"/>
    <col width="12" customWidth="1" min="11" max="11"/>
    <col width="24" customWidth="1" min="12" max="12"/>
  </cols>
  <sheetData>
    <row r="1">
      <c r="A1" s="4" t="inlineStr">
        <is>
          <t>Deal ID</t>
        </is>
      </c>
      <c r="B1" s="4" t="inlineStr">
        <is>
          <t>Deal name</t>
        </is>
      </c>
      <c r="C1" s="4" t="inlineStr">
        <is>
          <t>Date</t>
        </is>
      </c>
      <c r="D1" s="4" t="inlineStr">
        <is>
          <t>Archetype</t>
        </is>
      </c>
      <c r="E1" s="4" t="inlineStr">
        <is>
          <t>Asking / SDE / EBITDA</t>
        </is>
      </c>
      <c r="F1" s="4" t="inlineStr">
        <is>
          <t>Why this could work (your wedge)</t>
        </is>
      </c>
      <c r="G1" s="4" t="inlineStr">
        <is>
          <t>Why it might fail</t>
        </is>
      </c>
      <c r="H1" s="4" t="inlineStr">
        <is>
          <t>Normalized buyer economics</t>
        </is>
      </c>
      <c r="I1" s="4" t="inlineStr">
        <is>
          <t>Transition plan (60+ days?)</t>
        </is>
      </c>
      <c r="J1" s="4" t="inlineStr">
        <is>
          <t>Compare to one week of Path B outbound</t>
        </is>
      </c>
      <c r="K1" s="4" t="inlineStr">
        <is>
          <t>Decision</t>
        </is>
      </c>
      <c r="L1" s="4" t="inlineStr">
        <is>
          <t>Next action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6" customWidth="1" min="4" max="4"/>
    <col width="10" customWidth="1" min="5" max="5"/>
    <col width="22" customWidth="1" min="6" max="6"/>
  </cols>
  <sheetData>
    <row r="1">
      <c r="A1" s="4" t="inlineStr">
        <is>
          <t>Week ending</t>
        </is>
      </c>
      <c r="B1" s="4" t="inlineStr">
        <is>
          <t>Path B outbound (hrs)</t>
        </is>
      </c>
      <c r="C1" s="4" t="inlineStr">
        <is>
          <t>Path A Quotely (hrs)</t>
        </is>
      </c>
      <c r="D1" s="4" t="inlineStr">
        <is>
          <t>Acquisition (hrs)</t>
        </is>
      </c>
      <c r="E1" s="4" t="inlineStr">
        <is>
          <t>Total</t>
        </is>
      </c>
      <c r="F1" s="4" t="inlineStr">
        <is>
          <t>Kill flag?</t>
        </is>
      </c>
    </row>
    <row r="2">
      <c r="A2" s="6" t="n"/>
      <c r="B2" s="6" t="n"/>
      <c r="C2" s="6" t="n"/>
      <c r="E2" s="5">
        <f>SUM(B2:D2)</f>
        <v/>
      </c>
      <c r="F2" s="5">
        <f>IF(AND(D2&gt;8,B2&lt;5),"YES — pause acquisition","NO")</f>
        <v/>
      </c>
    </row>
    <row r="3">
      <c r="A3" s="6" t="n"/>
      <c r="B3" s="6" t="n"/>
      <c r="C3" s="6" t="n"/>
      <c r="E3" s="5">
        <f>SUM(B3:D3)</f>
        <v/>
      </c>
      <c r="F3" s="5">
        <f>IF(AND(D3&gt;8,B3&lt;5),"YES — pause acquisition","NO")</f>
        <v/>
      </c>
    </row>
    <row r="4">
      <c r="A4" s="6" t="n"/>
      <c r="B4" s="6" t="n"/>
      <c r="C4" s="6" t="n"/>
      <c r="E4" s="5">
        <f>SUM(B4:D4)</f>
        <v/>
      </c>
      <c r="F4" s="5">
        <f>IF(AND(D4&gt;8,B4&lt;5),"YES — pause acquisition","NO")</f>
        <v/>
      </c>
    </row>
    <row r="5">
      <c r="A5" s="6" t="n"/>
      <c r="B5" s="6" t="n"/>
      <c r="C5" s="6" t="n"/>
      <c r="E5" s="5">
        <f>SUM(B5:D5)</f>
        <v/>
      </c>
      <c r="F5" s="5">
        <f>IF(AND(D5&gt;8,B5&lt;5),"YES — pause acquisition","NO")</f>
        <v/>
      </c>
    </row>
    <row r="6">
      <c r="A6" s="6" t="n"/>
      <c r="B6" s="6" t="n"/>
      <c r="C6" s="6" t="n"/>
      <c r="E6" s="5">
        <f>SUM(B6:D6)</f>
        <v/>
      </c>
      <c r="F6" s="5">
        <f>IF(AND(D6&gt;8,B6&lt;5),"YES — pause acquisition","NO")</f>
        <v/>
      </c>
    </row>
    <row r="7">
      <c r="A7" s="6" t="n"/>
      <c r="B7" s="6" t="n"/>
      <c r="C7" s="6" t="n"/>
      <c r="E7" s="5">
        <f>SUM(B7:D7)</f>
        <v/>
      </c>
      <c r="F7" s="5">
        <f>IF(AND(D7&gt;8,B7&lt;5),"YES — pause acquisition","NO")</f>
        <v/>
      </c>
    </row>
    <row r="8">
      <c r="A8" s="6" t="n"/>
      <c r="B8" s="6" t="n"/>
      <c r="C8" s="6" t="n"/>
      <c r="E8" s="5">
        <f>SUM(B8:D8)</f>
        <v/>
      </c>
      <c r="F8" s="5">
        <f>IF(AND(D8&gt;8,B8&lt;5),"YES — pause acquisition","NO")</f>
        <v/>
      </c>
    </row>
    <row r="9">
      <c r="A9" s="6" t="n"/>
      <c r="B9" s="6" t="n"/>
      <c r="C9" s="6" t="n"/>
      <c r="E9" s="5">
        <f>SUM(B9:D9)</f>
        <v/>
      </c>
      <c r="F9" s="5">
        <f>IF(AND(D9&gt;8,B9&lt;5),"YES — pause acquisition","NO")</f>
        <v/>
      </c>
    </row>
    <row r="10">
      <c r="A10" s="6" t="n"/>
      <c r="B10" s="6" t="n"/>
      <c r="C10" s="6" t="n"/>
      <c r="E10" s="5">
        <f>SUM(B10:D10)</f>
        <v/>
      </c>
      <c r="F10" s="5">
        <f>IF(AND(D10&gt;8,B10&lt;5),"YES — pause acquisition","NO")</f>
        <v/>
      </c>
    </row>
    <row r="11">
      <c r="A11" s="6" t="n"/>
      <c r="B11" s="6" t="n"/>
      <c r="C11" s="6" t="n"/>
      <c r="E11" s="5">
        <f>SUM(B11:D11)</f>
        <v/>
      </c>
      <c r="F11" s="5">
        <f>IF(AND(D11&gt;8,B11&lt;5),"YES — pause acquisition","NO")</f>
        <v/>
      </c>
    </row>
    <row r="12">
      <c r="A12" s="6" t="n"/>
      <c r="B12" s="6" t="n"/>
      <c r="C12" s="6" t="n"/>
      <c r="E12" s="5">
        <f>SUM(B12:D12)</f>
        <v/>
      </c>
      <c r="F12" s="5">
        <f>IF(AND(D12&gt;8,B12&lt;5),"YES — pause acquisition","NO")</f>
        <v/>
      </c>
    </row>
    <row r="13">
      <c r="A13" s="6" t="n"/>
      <c r="B13" s="6" t="n"/>
      <c r="C13" s="6" t="n"/>
      <c r="E13" s="5">
        <f>SUM(B13:D13)</f>
        <v/>
      </c>
      <c r="F13" s="5">
        <f>IF(AND(D13&gt;8,B13&lt;5),"YES — pause acquisition","NO")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2" customWidth="1" min="3" max="3"/>
    <col width="10" customWidth="1" min="4" max="4"/>
    <col width="12" customWidth="1" min="5" max="5"/>
    <col width="40" customWidth="1" min="6" max="6"/>
    <col width="24" customWidth="1" min="7" max="7"/>
    <col width="12" customWidth="1" min="8" max="8"/>
  </cols>
  <sheetData>
    <row r="1">
      <c r="A1" s="4" t="inlineStr">
        <is>
          <t>Date</t>
        </is>
      </c>
      <c r="B1" s="4" t="inlineStr">
        <is>
          <t>Deal ID</t>
        </is>
      </c>
      <c r="C1" s="4" t="inlineStr">
        <is>
          <t>Deal name</t>
        </is>
      </c>
      <c r="D1" s="4" t="inlineStr">
        <is>
          <t>Decision</t>
        </is>
      </c>
      <c r="E1" s="4" t="inlineStr">
        <is>
          <t>Weighted score</t>
        </is>
      </c>
      <c r="F1" s="4" t="inlineStr">
        <is>
          <t>Reason</t>
        </is>
      </c>
      <c r="G1" s="4" t="inlineStr">
        <is>
          <t>Next action</t>
        </is>
      </c>
      <c r="H1" s="4" t="inlineStr">
        <is>
          <t>Revisit date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</row>
    <row r="4">
      <c r="A4" s="6" t="n"/>
      <c r="B4" s="6" t="n"/>
      <c r="C4" s="6" t="n"/>
      <c r="D4" s="6" t="n"/>
      <c r="E4" s="6" t="n"/>
      <c r="F4" s="6" t="n"/>
      <c r="G4" s="6" t="n"/>
      <c r="H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</sheetData>
  <dataValidations count="1">
    <dataValidation sqref="D2:D21" showDropDown="0" showInputMessage="0" showErrorMessage="0" allowBlank="1" type="list">
      <formula1>"Pursue,Watch,Pass,Kill,Parked"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40" customWidth="1" min="3" max="3"/>
  </cols>
  <sheetData>
    <row r="1">
      <c r="A1" s="7" t="inlineStr">
        <is>
          <t>OWNERSHIP STRESS — financial + profile litmus (complete ownership-challenges.md §9 before Pursue)</t>
        </is>
      </c>
    </row>
    <row r="2">
      <c r="A2" t="inlineStr">
        <is>
          <t>Deal ID</t>
        </is>
      </c>
      <c r="B2" s="6" t="n"/>
    </row>
    <row r="3">
      <c r="A3" t="inlineStr">
        <is>
          <t>Deal name</t>
        </is>
      </c>
      <c r="B3" s="6" t="n"/>
    </row>
    <row r="5">
      <c r="A5" s="7" t="inlineStr">
        <is>
          <t>FINANCIAL STRESS</t>
        </is>
      </c>
    </row>
    <row r="6">
      <c r="A6" t="inlineStr">
        <is>
          <t>Purchase price / EV ($)</t>
        </is>
      </c>
      <c r="B6" s="6" t="n"/>
    </row>
    <row r="7">
      <c r="A7" t="inlineStr">
        <is>
          <t>Equity in ($)</t>
        </is>
      </c>
      <c r="B7" s="6" t="n"/>
    </row>
    <row r="8">
      <c r="A8" t="inlineStr">
        <is>
          <t>Annual debt service ($)</t>
        </is>
      </c>
      <c r="B8" s="6" t="n"/>
    </row>
    <row r="9">
      <c r="A9" t="inlineStr">
        <is>
          <t>Expected normalized SDE year 1 ($)</t>
        </is>
      </c>
      <c r="B9" s="6" t="n"/>
    </row>
    <row r="10">
      <c r="A10" t="inlineStr">
        <is>
          <t>SDE stress haircut (%)</t>
        </is>
      </c>
      <c r="B10" s="6" t="n">
        <v>-20</v>
      </c>
    </row>
    <row r="11">
      <c r="A11" t="inlineStr">
        <is>
          <t>Additional haircut — key customer / seller early (%)</t>
        </is>
      </c>
      <c r="B11" s="6" t="n">
        <v>0</v>
      </c>
    </row>
    <row r="12">
      <c r="A12" t="inlineStr">
        <is>
          <t>Hours/week operator (planned)</t>
        </is>
      </c>
      <c r="B12" s="6" t="n"/>
    </row>
    <row r="13">
      <c r="A13" t="inlineStr">
        <is>
          <t>Hours/week operator (actual stress case)</t>
        </is>
      </c>
      <c r="B13" s="6" t="n"/>
    </row>
    <row r="14">
      <c r="A14" t="inlineStr">
        <is>
          <t>Path B income forgone ($/yr)</t>
        </is>
      </c>
      <c r="B14" s="6" t="n"/>
    </row>
    <row r="15">
      <c r="A15" t="inlineStr">
        <is>
          <t>Minimum income floor ($/yr)</t>
        </is>
      </c>
      <c r="B15" s="6" t="n"/>
    </row>
    <row r="17">
      <c r="A17" t="inlineStr">
        <is>
          <t>Stressed SDE ($)</t>
        </is>
      </c>
      <c r="B17" s="5">
        <f>IF(B9="","",B9*(1+B10/100)*(1+B11/100))</f>
        <v/>
      </c>
    </row>
    <row r="18">
      <c r="A18" t="inlineStr">
        <is>
          <t>Post-debt owner cash ($)</t>
        </is>
      </c>
      <c r="B18" s="5">
        <f>IF(OR(B17="",B8=""),"",B17-B8)</f>
        <v/>
      </c>
    </row>
    <row r="19">
      <c r="A19" t="inlineStr">
        <is>
          <t>DSCR (x)</t>
        </is>
      </c>
      <c r="B19" s="5">
        <f>IF(B8=0,"",B17/B8)</f>
        <v/>
      </c>
    </row>
    <row r="20">
      <c r="A20" t="inlineStr">
        <is>
          <t>Post-debt cash &gt;= floor?</t>
        </is>
      </c>
      <c r="B20" s="5">
        <f>IF(B18="","",IF(B18&gt;=B15,"YES","NO"))</f>
        <v/>
      </c>
    </row>
    <row r="21">
      <c r="A21" t="inlineStr">
        <is>
          <t>DSCR &gt;= 1.25x?</t>
        </is>
      </c>
      <c r="B21" s="5">
        <f>IF(B19="","",IF(B19&gt;=1.25,"YES","NO"))</f>
        <v/>
      </c>
    </row>
    <row r="22">
      <c r="A22" t="inlineStr">
        <is>
          <t>Hours overrun?</t>
        </is>
      </c>
      <c r="B22" s="5">
        <f>IF(AND(B12&lt;&gt;"",B13&lt;&gt;""),IF(B13&gt;B12,"YES","NO"),"")</f>
        <v/>
      </c>
    </row>
    <row r="24">
      <c r="A24" s="7" t="inlineStr">
        <is>
          <t>PROFILE LITMUS</t>
        </is>
      </c>
    </row>
    <row r="25">
      <c r="A25" t="inlineStr">
        <is>
          <t>Path retired for this deal?</t>
        </is>
      </c>
      <c r="B25" s="6" t="inlineStr">
        <is>
          <t>Neither</t>
        </is>
      </c>
    </row>
    <row r="26">
      <c r="A26" t="inlineStr">
        <is>
          <t>Domain still ops-AI / logistics / field service?</t>
        </is>
      </c>
      <c r="B26" s="6" t="inlineStr">
        <is>
          <t>YES</t>
        </is>
      </c>
    </row>
    <row r="27">
      <c r="A27" t="inlineStr">
        <is>
          <t>Role in year 1</t>
        </is>
      </c>
      <c r="B27" s="6" t="inlineStr">
        <is>
          <t>Product-led improver</t>
        </is>
      </c>
    </row>
    <row r="28">
      <c r="A28" t="inlineStr">
        <is>
          <t>Primary motive</t>
        </is>
      </c>
      <c r="B28" s="6" t="inlineStr">
        <is>
          <t>Ownership</t>
        </is>
      </c>
    </row>
    <row r="29">
      <c r="A29" t="inlineStr">
        <is>
          <t>Path B outbound hrs (this week)</t>
        </is>
      </c>
      <c r="B29" s="6" t="n"/>
    </row>
    <row r="30">
      <c r="A30" t="inlineStr">
        <is>
          <t>Acquisition hrs (this week)</t>
        </is>
      </c>
      <c r="B30" s="6" t="n"/>
    </row>
    <row r="31">
      <c r="A31" t="inlineStr">
        <is>
          <t>Argue-both-sides done? (ownership-challenges.md §9)</t>
        </is>
      </c>
      <c r="B31" s="6" t="inlineStr">
        <is>
          <t>NO</t>
        </is>
      </c>
    </row>
    <row r="33">
      <c r="A33" t="inlineStr">
        <is>
          <t>One-bet violation?</t>
        </is>
      </c>
      <c r="B33" s="5">
        <f>IF(B25="Neither","YES — stop","NO")</f>
        <v/>
      </c>
    </row>
    <row r="34">
      <c r="A34" t="inlineStr">
        <is>
          <t>Month-5 domain drift flag?</t>
        </is>
      </c>
      <c r="B34" s="5">
        <f>IF(B26="NO","YES","NO")</f>
        <v/>
      </c>
    </row>
    <row r="35">
      <c r="A35" t="inlineStr">
        <is>
          <t>GM trap flag?</t>
        </is>
      </c>
      <c r="B35" s="5">
        <f>IF(B27="Hands-on GM","YES — Watch/Kill unless hire-ops-mgr plan","NO")</f>
        <v/>
      </c>
    </row>
    <row r="36">
      <c r="A36" t="inlineStr">
        <is>
          <t>Escape/Prestige without Ownership?</t>
        </is>
      </c>
      <c r="B36" s="5">
        <f>IF(OR(B28="Escape",B28="Prestige"),"YES — favor Path B","NO")</f>
        <v/>
      </c>
    </row>
    <row r="37">
      <c r="A37" t="inlineStr">
        <is>
          <t>Kill-rule proximity?</t>
        </is>
      </c>
      <c r="B37" s="5">
        <f>IF(AND(B30&gt;8,B29&lt;5),"KILL RULE RISK","OK")</f>
        <v/>
      </c>
    </row>
    <row r="38">
      <c r="A38" t="inlineStr">
        <is>
          <t>Argue-both-sides required?</t>
        </is>
      </c>
      <c r="B38" s="5">
        <f>IF(B31="NO","BLOCK Pursue until §9 complete","OK")</f>
        <v/>
      </c>
    </row>
    <row r="40">
      <c r="A40" t="inlineStr">
        <is>
          <t>Overall profile litmus</t>
        </is>
      </c>
      <c r="B40" s="5">
        <f>IF(OR(B33="YES — stop",B34="YES",B35="YES — Watch/Kill unless hire-ops-mgr plan",B36="YES — favor Path B",B37="KILL RULE RISK",B38="BLOCK Pursue until §9 complete"),"FAIL","PASS")</f>
        <v/>
      </c>
    </row>
    <row r="41">
      <c r="A41" t="inlineStr">
        <is>
          <t>Financial stress pass?</t>
        </is>
      </c>
      <c r="B41" s="5">
        <f>IF(OR(B20="NO",B21="NO"),"FAIL","PASS")</f>
        <v/>
      </c>
    </row>
    <row r="42">
      <c r="A42" t="inlineStr">
        <is>
          <t>Recommend before Pursue</t>
        </is>
      </c>
      <c r="B42" s="5">
        <f>IF(OR(B40="FAIL",B41="FAIL"),"Watch or Kill","OK to score in 05_Deal_Scorecard")</f>
        <v/>
      </c>
    </row>
    <row r="43">
      <c r="A43" s="10" t="inlineStr">
        <is>
          <t>Guide: ACQUISITION/ownership-challenges.md — section 9 argue-both-sides required before Pursue</t>
        </is>
      </c>
    </row>
  </sheetData>
  <dataValidations count="5">
    <dataValidation sqref="B25" showDropDown="0" showInputMessage="0" showErrorMessage="0" allowBlank="1" type="list">
      <formula1>"Path A,Path B,Neither"</formula1>
    </dataValidation>
    <dataValidation sqref="B26 B31" showDropDown="0" showInputMessage="0" showErrorMessage="0" allowBlank="1" type="list">
      <formula1>"YES,NO"</formula1>
    </dataValidation>
    <dataValidation sqref="B27" showDropDown="0" showInputMessage="0" showErrorMessage="0" allowBlank="1" type="list">
      <formula1>"Product-led improver,Hands-on GM"</formula1>
    </dataValidation>
    <dataValidation sqref="B28" showDropDown="0" showInputMessage="0" showErrorMessage="0" allowBlank="1" type="list">
      <formula1>"Ownership,Defended number,Escape,Prestige"</formula1>
    </dataValidation>
    <dataValidation sqref="B10" showDropDown="0" showInputMessage="0" showErrorMessage="0" allowBlank="1" type="list">
      <formula1>"-20,-40,0"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2026-07-12T17:14:04Z</dcterms:created>
  <dcterms:modified xsi:type="dcterms:W3CDTF">2026-07-12T17:14:04Z</dcterms:modified>
</cp:coreProperties>
</file>