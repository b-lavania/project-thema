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Archetype_Scorecard" sheetId="2" state="visible" r:id="rId4"/>
    <sheet name="02_Target_Size_Bands" sheetId="3" state="visible" r:id="rId5"/>
    <sheet name="03_Operator_Readiness" sheetId="4" state="visible" r:id="rId6"/>
    <sheet name="04_Deal_Pipeline" sheetId="5" state="visible" r:id="rId7"/>
    <sheet name="05_Deal_Scorecard" sheetId="6" state="visible" r:id="rId8"/>
    <sheet name="06_Business_Risk_Diligence" sheetId="7" state="visible" r:id="rId9"/>
    <sheet name="07_Diligence_Memo" sheetId="8" state="visible" r:id="rId10"/>
    <sheet name="08_Time_Budget" sheetId="9" state="visible" r:id="rId11"/>
    <sheet name="09_Decision_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<sst xmlns="http://schemas.openxmlformats.org/spreadsheetml/2006/main" count="330" uniqueCount="278">
  <si>
    <t xml:space="preserve">ACQUISITION DECISION SYSTEM</t>
  </si>
  <si>
    <t xml:space="preserve">Current call: NOT YET — bounded secondary experiment only (max 5 hrs/week).</t>
  </si>
  <si>
    <t xml:space="preserve">TAB GUIDE</t>
  </si>
  <si>
    <t xml:space="preserve">01_Archetype_Scorecard — vertical fit with formula-driven weighted scores</t>
  </si>
  <si>
    <t xml:space="preserve">02_Target_Size_Bands — SDE/EBITDA/EV bands and affordability calculator</t>
  </si>
  <si>
    <t xml:space="preserve">03_Operator_Readiness — financing, runway, willingness gates</t>
  </si>
  <si>
    <t xml:space="preserve">04_Deal_Pipeline — real listings only</t>
  </si>
  <si>
    <t xml:space="preserve">05_Deal_Scorecard — per-deal weighted score + Pursue/Watch/Kill</t>
  </si>
  <si>
    <t xml:space="preserve">06_Business_Risk_Diligence — personnel, ops, customer, revenue quality</t>
  </si>
  <si>
    <t xml:space="preserve">07_Diligence_Memo — one-page memo template per deal</t>
  </si>
  <si>
    <t xml:space="preserve">08_Time_Budget — weekly hours across Path A, Path B, acquisition</t>
  </si>
  <si>
    <t xml:space="preserve">09_Decision_Log — dated pass/kill decisions</t>
  </si>
  <si>
    <t xml:space="preserve">THREE GATES (all required)</t>
  </si>
  <si>
    <t xml:space="preserve">1. Business you could improve</t>
  </si>
  <si>
    <t xml:space="preserve">2. Business you could realistically buy</t>
  </si>
  <si>
    <t xml:space="preserve">3. Business you would operate for 3 years</t>
  </si>
  <si>
    <t xml:space="preserve">DEAL SCORECARD WEIGHTS</t>
  </si>
  <si>
    <t xml:space="preserve">Operator fit — 25%</t>
  </si>
  <si>
    <t xml:space="preserve">AI/product leverage — 20%</t>
  </si>
  <si>
    <t xml:space="preserve">Financial feasibility — 25%</t>
  </si>
  <si>
    <t xml:space="preserve">Owner dependence / transition — 15%</t>
  </si>
  <si>
    <t xml:space="preserve">Operating enjoyment — 10%</t>
  </si>
  <si>
    <t xml:space="preserve">Strategic conflict risk — 5%</t>
  </si>
  <si>
    <t xml:space="preserve">LABELS: Pursue (score &gt;= 3.5 and gates pass) | Watch (2.5-3.4 or missing data) | Kill (&lt; 2.5 or hard fail)</t>
  </si>
  <si>
    <t xml:space="preserve">FORMULA APPENDIX (Google Sheets-safe)</t>
  </si>
  <si>
    <t xml:space="preserve">Weighted total: =SUMPRODUCT(weights, scores) / SUM(weights)</t>
  </si>
  <si>
    <t xml:space="preserve">Decision label: =IF(AND(score&gt;=3.5, gates="YES"), "Pursue", IF(OR(score&lt;2.5, hardFail="YES"), "Kill", "Watch"))</t>
  </si>
  <si>
    <t xml:space="preserve">DSCR: =IF(debtService=0, "", normalizedEBITDA/debtService)</t>
  </si>
  <si>
    <t xml:space="preserve">EV/SDE: =IF(SDE=0, "", askingPrice/SDE)</t>
  </si>
  <si>
    <t xml:space="preserve">KILL RULES — pause search if:</t>
  </si>
  <si>
    <t xml:space="preserve">• Acquisition &gt; 8 hrs/wk for 2 weeks while Path B outbound &lt; 5 hrs/wk</t>
  </si>
  <si>
    <t xml:space="preserve">• New domain listing outside ops-AI/logistics (month-5 relapse)</t>
  </si>
  <si>
    <t xml:space="preserve">• LOI without financing pre-approval</t>
  </si>
  <si>
    <t xml:space="preserve">• Deal fails all three gates</t>
  </si>
  <si>
    <t xml:space="preserve">See ACQUISITION/README.md and REPENTANCE/acquisition-decision/ for full rules.</t>
  </si>
  <si>
    <t xml:space="preserve">Vertical</t>
  </si>
  <si>
    <t xml:space="preserve">Workflow</t>
  </si>
  <si>
    <t xml:space="preserve">Info Arbitrage</t>
  </si>
  <si>
    <t xml:space="preserve">Pricing</t>
  </si>
  <si>
    <t xml:space="preserve">Automation</t>
  </si>
  <si>
    <t xml:space="preserve">Discovery</t>
  </si>
  <si>
    <t xml:space="preserve">Marketplace</t>
  </si>
  <si>
    <t xml:space="preserve">Labor Burden (-)</t>
  </si>
  <si>
    <t xml:space="preserve">Sales Hero (-)</t>
  </si>
  <si>
    <t xml:space="preserve">Weighted Score</t>
  </si>
  <si>
    <t xml:space="preserve">Tier</t>
  </si>
  <si>
    <t xml:space="preserve">Notes</t>
  </si>
  <si>
    <t xml:space="preserve">Factor weights (ref)</t>
  </si>
  <si>
    <t xml:space="preserve">Freight Brokerage</t>
  </si>
  <si>
    <t xml:space="preserve">Construction Estimating</t>
  </si>
  <si>
    <t xml:space="preserve">Permit Expediting</t>
  </si>
  <si>
    <t xml:space="preserve">Industrial Distribution</t>
  </si>
  <si>
    <t xml:space="preserve">Specialty Staffing</t>
  </si>
  <si>
    <t xml:space="preserve">Insurance Inspections</t>
  </si>
  <si>
    <t xml:space="preserve">Valuation Services</t>
  </si>
  <si>
    <t xml:space="preserve">Industry Research / Data</t>
  </si>
  <si>
    <t xml:space="preserve">Vertical SaaS</t>
  </si>
  <si>
    <t xml:space="preserve">MSP</t>
  </si>
  <si>
    <t xml:space="preserve">HVAC</t>
  </si>
  <si>
    <t xml:space="preserve">Roofing</t>
  </si>
  <si>
    <t xml:space="preserve">Self Storage</t>
  </si>
  <si>
    <t xml:space="preserve">Laundromat</t>
  </si>
  <si>
    <t xml:space="preserve">CATEGORY THEMES (preserved from original workbook)</t>
  </si>
  <si>
    <t xml:space="preserve">#</t>
  </si>
  <si>
    <t xml:space="preserve">Business type &amp; Theme</t>
  </si>
  <si>
    <t xml:space="preserve">Why it fits</t>
  </si>
  <si>
    <t xml:space="preserve">Main risk</t>
  </si>
  <si>
    <t xml:space="preserve">Target EV</t>
  </si>
  <si>
    <t xml:space="preserve">Vertical logistics / dispatch service with software layer</t>
  </si>
  <si>
    <t xml:space="preserve">Direct match to quote-to-dispatch, routing, crew assignment, and pricing work.</t>
  </si>
  <si>
    <t xml:space="preserve">Labor, claims, seasonality, customer concentration.</t>
  </si>
  <si>
    <t xml:space="preserve">Broker / intermediary business with ugly workflow</t>
  </si>
  <si>
    <t xml:space="preserve">Fits strength in reducing ambiguity, speeding quote generation, and standardizing handoffs.</t>
  </si>
  <si>
    <t xml:space="preserve">You may inherit relationship-heavy revenue that resists systemization.</t>
  </si>
  <si>
    <t xml:space="preserve">B2B services business with recurring ops chaos</t>
  </si>
  <si>
    <t xml:space="preserve">Good if there is a repetitive intake, scheduling, billing, compliance, or QA loop.</t>
  </si>
  <si>
    <t xml:space="preserve">Margin leakage can be hidden until after close.</t>
  </si>
  <si>
    <t xml:space="preserve">Niche vertical SaaS with service wrapper</t>
  </si>
  <si>
    <t xml:space="preserve">Best if the software is underbuilt and the real product is workflow control.</t>
  </si>
  <si>
    <t xml:space="preserve">Pure SaaS may be too slow if it lacks operational leverage.</t>
  </si>
  <si>
    <t xml:space="preserve">HR / workforce / compliance admin business</t>
  </si>
  <si>
    <t xml:space="preserve">Strong fit because you understand transaction-ready data, integration, and diligence workflows.</t>
  </si>
  <si>
    <t xml:space="preserve">Sales cycles and buyer conservatism can slow change.</t>
  </si>
  <si>
    <t xml:space="preserve">ACQUISITION TYPES (preserved)</t>
  </si>
  <si>
    <t xml:space="preserve">Acquisition type</t>
  </si>
  <si>
    <t xml:space="preserve">Target EBITDA</t>
  </si>
  <si>
    <t xml:space="preserve">Target EV / Note</t>
  </si>
  <si>
    <t xml:space="preserve">Last-mile / dispatch-heavy logistics, 3PL, freight brokerage, specialized routing</t>
  </si>
  <si>
    <t xml:space="preserve">Direct match to quote-to-dispatch, pricing, status, crew/workforce orchestration, and operational AI mindset.</t>
  </si>
  <si>
    <t xml:space="preserve">$700k–$2.5M</t>
  </si>
  <si>
    <t xml:space="preserve">Field-service or installation business with scheduling complexity</t>
  </si>
  <si>
    <t xml:space="preserve">Same bottleneck pattern as logistics: intake, dispatch, exceptions, capacity, and customer status.</t>
  </si>
  <si>
    <t xml:space="preserve">$500k–$1.8M</t>
  </si>
  <si>
    <t xml:space="preserve">Business brokerage / advisory / transaction services with process drag</t>
  </si>
  <si>
    <t xml:space="preserve">Strong fit if the real problem is Excel, email, and manual reporting.</t>
  </si>
  <si>
    <t xml:space="preserve">$400k–$1.5M</t>
  </si>
  <si>
    <t xml:space="preserve">HR, payroll, diligence, or workforce-integration services</t>
  </si>
  <si>
    <t xml:space="preserve">Fits transaction-readiness and integration-first thinking.</t>
  </si>
  <si>
    <t xml:space="preserve">$500k–$2.0M</t>
  </si>
  <si>
    <t xml:space="preserve">Compliance / trust-sensitive monitoring business</t>
  </si>
  <si>
    <t xml:space="preserve">Good if signal quality matters more than feature breadth.</t>
  </si>
  <si>
    <t xml:space="preserve">$600k–$2.0M</t>
  </si>
  <si>
    <t xml:space="preserve">Generic local service business without workflow leverage</t>
  </si>
  <si>
    <t xml:space="preserve">You can own it, but it is mostly management labor, not systems leverage.</t>
  </si>
  <si>
    <t xml:space="preserve">Any</t>
  </si>
  <si>
    <t xml:space="preserve">Passive-style: parking lots, freight-yard, storage-yard, junk-yard</t>
  </si>
  <si>
    <t xml:space="preserve">Cash-flow asset, not product-led operating leverage.</t>
  </si>
  <si>
    <t xml:space="preserve">Varies</t>
  </si>
  <si>
    <t xml:space="preserve">Reject unless goal changes to cash-flow investing</t>
  </si>
  <si>
    <t xml:space="preserve">TARGET SIZE BANDS — small individual acquirer</t>
  </si>
  <si>
    <t xml:space="preserve">Band</t>
  </si>
  <si>
    <t xml:space="preserve">SDE / EBITDA</t>
  </si>
  <si>
    <t xml:space="preserve">EV</t>
  </si>
  <si>
    <t xml:space="preserve">Preferred</t>
  </si>
  <si>
    <t xml:space="preserve">$150K–$500K</t>
  </si>
  <si>
    <t xml:space="preserve">$500K–$2.0M</t>
  </si>
  <si>
    <t xml:space="preserve">Default search range</t>
  </si>
  <si>
    <t xml:space="preserve">Stretch</t>
  </si>
  <si>
    <t xml:space="preserve">$500K–$750K</t>
  </si>
  <si>
    <t xml:space="preserve">$2.0M–$3.0M</t>
  </si>
  <si>
    <t xml:space="preserve">Requires lender pre-qual + seller financing</t>
  </si>
  <si>
    <t xml:space="preserve">Avoid</t>
  </si>
  <si>
    <t xml:space="preserve">&lt; $150K or &gt; $750K EBITDA</t>
  </si>
  <si>
    <t xml:space="preserve">&gt; $3.0M EV</t>
  </si>
  <si>
    <t xml:space="preserve">Too small (job) or too large without capital</t>
  </si>
  <si>
    <t xml:space="preserve">AFFORDABILITY CALCULATOR (fill yellow cells)</t>
  </si>
  <si>
    <t xml:space="preserve">Field</t>
  </si>
  <si>
    <t xml:space="preserve">Value</t>
  </si>
  <si>
    <t xml:space="preserve">Formula / Threshold</t>
  </si>
  <si>
    <t xml:space="preserve">Pass?</t>
  </si>
  <si>
    <t xml:space="preserve">Asking price / EV ($)</t>
  </si>
  <si>
    <t xml:space="preserve">INPUT</t>
  </si>
  <si>
    <t xml:space="preserve">Seller-reported SDE ($)</t>
  </si>
  <si>
    <t xml:space="preserve">Seller-reported EBITDA ($)</t>
  </si>
  <si>
    <t xml:space="preserve">Normalized buyer SDE ($)</t>
  </si>
  <si>
    <t xml:space="preserve">INPUT — use for multiples</t>
  </si>
  <si>
    <t xml:space="preserve">Normalized buyer EBITDA ($)</t>
  </si>
  <si>
    <t xml:space="preserve">INPUT — use for debt service</t>
  </si>
  <si>
    <t xml:space="preserve">Down payment %</t>
  </si>
  <si>
    <t xml:space="preserve">INPUT (default 20%)</t>
  </si>
  <si>
    <t xml:space="preserve">Seller financing %</t>
  </si>
  <si>
    <t xml:space="preserve">Interest rate (annual)</t>
  </si>
  <si>
    <t xml:space="preserve">Loan term (years)</t>
  </si>
  <si>
    <t xml:space="preserve">Liquid capital available ($)</t>
  </si>
  <si>
    <t xml:space="preserve">INPUT — fill in private copy only</t>
  </si>
  <si>
    <t xml:space="preserve">Minimum personal income needed ($/yr)</t>
  </si>
  <si>
    <t xml:space="preserve">EV / SDE (x)</t>
  </si>
  <si>
    <t xml:space="preserve">EV / EBITDA (x)</t>
  </si>
  <si>
    <t xml:space="preserve">Cash required ($)</t>
  </si>
  <si>
    <t xml:space="preserve">Loan principal ($)</t>
  </si>
  <si>
    <t xml:space="preserve">Annual debt service ($)</t>
  </si>
  <si>
    <t xml:space="preserve">DSCR (x)</t>
  </si>
  <si>
    <t xml:space="preserve">Post-debt owner cash flow ($)</t>
  </si>
  <si>
    <t xml:space="preserve">Size band</t>
  </si>
  <si>
    <t xml:space="preserve">formula</t>
  </si>
  <si>
    <t xml:space="preserve">Financing hard fail?</t>
  </si>
  <si>
    <t xml:space="preserve">OPERATOR READINESS — default: NOT YET</t>
  </si>
  <si>
    <t xml:space="preserve">1. Capital and financing</t>
  </si>
  <si>
    <t xml:space="preserve">Item</t>
  </si>
  <si>
    <t xml:space="preserve">Your answer</t>
  </si>
  <si>
    <t xml:space="preserve">Liquid equity for down payment ($)</t>
  </si>
  <si>
    <t xml:space="preserve">Additional investable without ruin ($)</t>
  </si>
  <si>
    <t xml:space="preserve">SBA 7(a) or seller note pre-qualified?</t>
  </si>
  <si>
    <t xml:space="preserve">Unknown</t>
  </si>
  <si>
    <t xml:space="preserve">Max monthly debt service affordable ($)</t>
  </si>
  <si>
    <t xml:space="preserve">Spouse/partner alignment on personal guarantee</t>
  </si>
  <si>
    <t xml:space="preserve">2. Runway and income pressure</t>
  </si>
  <si>
    <t xml:space="preserve">Months of personal runway at current burn</t>
  </si>
  <si>
    <t xml:space="preserve">Minimum monthly income needed ($)</t>
  </si>
  <si>
    <t xml:space="preserve">Can you go 6-12 months with $0 salary during search?</t>
  </si>
  <si>
    <t xml:space="preserve">NO</t>
  </si>
  <si>
    <t xml:space="preserve">Fractional income still required ($/mo)</t>
  </si>
  <si>
    <t xml:space="preserve">3. Operator willingness (1-5)</t>
  </si>
  <si>
    <t xml:space="preserve">Activity</t>
  </si>
  <si>
    <t xml:space="preserve">Score (1-5)</t>
  </si>
  <si>
    <t xml:space="preserve">Reviewing P&amp;L weekly</t>
  </si>
  <si>
    <t xml:space="preserve">Managing payroll / HR issues</t>
  </si>
  <si>
    <t xml:space="preserve">Vendor negotiations</t>
  </si>
  <si>
    <t xml:space="preserve">Seller transition meetings</t>
  </si>
  <si>
    <t xml:space="preserve">Firing underperformers</t>
  </si>
  <si>
    <t xml:space="preserve">Same customer problem 200 times</t>
  </si>
  <si>
    <t xml:space="preserve">Product/roadmap decisions post-close</t>
  </si>
  <si>
    <t xml:space="preserve">4. Seller transition</t>
  </si>
  <si>
    <t xml:space="preserve">Plan</t>
  </si>
  <si>
    <t xml:space="preserve">Weeks seller stays post-close</t>
  </si>
  <si>
    <t xml:space="preserve">Non-compete geography</t>
  </si>
  <si>
    <t xml:space="preserve">Customer intro commitments</t>
  </si>
  <si>
    <t xml:space="preserve">Your hours/week during transition</t>
  </si>
  <si>
    <t xml:space="preserve">5. Time budget</t>
  </si>
  <si>
    <t xml:space="preserve">Hrs/week budget</t>
  </si>
  <si>
    <t xml:space="preserve">Actual (4-wk avg)</t>
  </si>
  <si>
    <t xml:space="preserve">Path B: founder outreach / apps</t>
  </si>
  <si>
    <t xml:space="preserve">Path A: Quotely distribution</t>
  </si>
  <si>
    <t xml:space="preserve">Acquisition: search + diligence</t>
  </si>
  <si>
    <t xml:space="preserve">6. Professional support</t>
  </si>
  <si>
    <t xml:space="preserve">Resource</t>
  </si>
  <si>
    <t xml:space="preserve">Secured?</t>
  </si>
  <si>
    <t xml:space="preserve">SMB-focused attorney (LOI, APA)</t>
  </si>
  <si>
    <t xml:space="preserve">QoE accountant or diligence help</t>
  </si>
  <si>
    <t xml:space="preserve">Business broker relationship</t>
  </si>
  <si>
    <t xml:space="preserve">SBA lender contact</t>
  </si>
  <si>
    <t xml:space="preserve">READINESS SUMMARY</t>
  </si>
  <si>
    <t xml:space="preserve">Financing documented?</t>
  </si>
  <si>
    <t xml:space="preserve">Runway documented?</t>
  </si>
  <si>
    <t xml:space="preserve">Operator willingness avg</t>
  </si>
  <si>
    <t xml:space="preserve">Willingness pass?</t>
  </si>
  <si>
    <t xml:space="preserve">Time budget kill flag?</t>
  </si>
  <si>
    <t xml:space="preserve">OVERALL</t>
  </si>
  <si>
    <t xml:space="preserve">Deal ID</t>
  </si>
  <si>
    <t xml:space="preserve">Deal name</t>
  </si>
  <si>
    <t xml:space="preserve">Source</t>
  </si>
  <si>
    <t xml:space="preserve">Archetype</t>
  </si>
  <si>
    <t xml:space="preserve">Asking price ($)</t>
  </si>
  <si>
    <t xml:space="preserve">Seller SDE ($)</t>
  </si>
  <si>
    <t xml:space="preserve">Seller EBITDA ($)</t>
  </si>
  <si>
    <t xml:space="preserve">Normalized SDE ($)</t>
  </si>
  <si>
    <t xml:space="preserve">Normalized EBITDA ($)</t>
  </si>
  <si>
    <t xml:space="preserve">Status</t>
  </si>
  <si>
    <t xml:space="preserve">Date added</t>
  </si>
  <si>
    <t xml:space="preserve">D001</t>
  </si>
  <si>
    <t xml:space="preserve">D002</t>
  </si>
  <si>
    <t xml:space="preserve">D003</t>
  </si>
  <si>
    <t xml:space="preserve">D004</t>
  </si>
  <si>
    <t xml:space="preserve">D005</t>
  </si>
  <si>
    <t xml:space="preserve">Operator fit (1-5)</t>
  </si>
  <si>
    <t xml:space="preserve">AI/product leverage (1-5)</t>
  </si>
  <si>
    <t xml:space="preserve">Financial feasibility (1-5)</t>
  </si>
  <si>
    <t xml:space="preserve">Owner dependence (1-5)</t>
  </si>
  <si>
    <t xml:space="preserve">Operating enjoyment (1-5)</t>
  </si>
  <si>
    <t xml:space="preserve">Strategic conflict (1-5)</t>
  </si>
  <si>
    <t xml:space="preserve">Weighted score</t>
  </si>
  <si>
    <t xml:space="preserve">Gate: improve?</t>
  </si>
  <si>
    <t xml:space="preserve">Gate: buy?</t>
  </si>
  <si>
    <t xml:space="preserve">Gate: operate 3yr?</t>
  </si>
  <si>
    <t xml:space="preserve">Path B displaced?</t>
  </si>
  <si>
    <t xml:space="preserve">Risk red flags (#)</t>
  </si>
  <si>
    <t xml:space="preserve">All gates pass?</t>
  </si>
  <si>
    <t xml:space="preserve">Hard fail?</t>
  </si>
  <si>
    <t xml:space="preserve">Decision</t>
  </si>
  <si>
    <t xml:space="preserve">Weights</t>
  </si>
  <si>
    <t xml:space="preserve">Owner is primary seller/dispatcher?</t>
  </si>
  <si>
    <t xml:space="preserve">No second-in-command?</t>
  </si>
  <si>
    <t xml:space="preserve">Key employee departure risk?</t>
  </si>
  <si>
    <t xml:space="preserve">High turnover / heroics?</t>
  </si>
  <si>
    <t xml:space="preserve">Underpaid relatives or misclassified contractors?</t>
  </si>
  <si>
    <t xml:space="preserve">SOP / tribal knowledge risk?</t>
  </si>
  <si>
    <t xml:space="preserve">Labor burden / OT exposure?</t>
  </si>
  <si>
    <t xml:space="preserve">Cannot explain gross margin by job type?</t>
  </si>
  <si>
    <t xml:space="preserve">Poor cash conversion?</t>
  </si>
  <si>
    <t xml:space="preserve">Systems messy and data absent?</t>
  </si>
  <si>
    <t xml:space="preserve">Deferred maintenance / claims?</t>
  </si>
  <si>
    <t xml:space="preserve">Top customer &gt; 20% revenue?</t>
  </si>
  <si>
    <t xml:space="preserve">Top 3 customers &gt; 40%?</t>
  </si>
  <si>
    <t xml:space="preserve">Founder owns all relationships?</t>
  </si>
  <si>
    <t xml:space="preserve">Revenue re-sold each cycle?</t>
  </si>
  <si>
    <t xml:space="preserve">Paid ads with unclear CAC?</t>
  </si>
  <si>
    <t xml:space="preserve">Ops trust problems in reviews?</t>
  </si>
  <si>
    <t xml:space="preserve">Add-backs low confidence?</t>
  </si>
  <si>
    <t xml:space="preserve">Working capital surprise?</t>
  </si>
  <si>
    <t xml:space="preserve">Transition &lt; 60 days seller support?</t>
  </si>
  <si>
    <t xml:space="preserve">Red flag count</t>
  </si>
  <si>
    <t xml:space="preserve">Risk band</t>
  </si>
  <si>
    <t xml:space="preserve">Date</t>
  </si>
  <si>
    <t xml:space="preserve">Asking / SDE / EBITDA</t>
  </si>
  <si>
    <t xml:space="preserve">Why this could work (your wedge)</t>
  </si>
  <si>
    <t xml:space="preserve">Why it might fail</t>
  </si>
  <si>
    <t xml:space="preserve">Normalized buyer economics</t>
  </si>
  <si>
    <t xml:space="preserve">Transition plan (60+ days?)</t>
  </si>
  <si>
    <t xml:space="preserve">Compare to one week of Path B outbound</t>
  </si>
  <si>
    <t xml:space="preserve">Next action</t>
  </si>
  <si>
    <t xml:space="preserve">Week ending</t>
  </si>
  <si>
    <t xml:space="preserve">Path B outbound (hrs)</t>
  </si>
  <si>
    <t xml:space="preserve">Path A Quotely (hrs)</t>
  </si>
  <si>
    <t xml:space="preserve">Acquisition (hrs)</t>
  </si>
  <si>
    <t xml:space="preserve">Total</t>
  </si>
  <si>
    <t xml:space="preserve">Kill flag?</t>
  </si>
  <si>
    <t xml:space="preserve">Reason</t>
  </si>
  <si>
    <t xml:space="preserve">Revisit date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</si>
</sst>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8F4FF"/>
      </patternFill>
    </fill>
    <fill>
      <patternFill patternType="solid">
        <fgColor rgb="FFE8F4FF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4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3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/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2" t="s">
        <v>30</v>
      </c>
    </row>
    <row r="39" customFormat="false" ht="15" hidden="false" customHeight="false" outlineLevel="0" collapsed="false">
      <c r="A39" s="2" t="s">
        <v>31</v>
      </c>
    </row>
    <row r="40" customFormat="false" ht="15" hidden="false" customHeight="false" outlineLevel="0" collapsed="false">
      <c r="A40" s="2" t="s">
        <v>32</v>
      </c>
    </row>
    <row r="41" customFormat="false" ht="15" hidden="false" customHeight="false" outlineLevel="0" collapsed="false">
      <c r="A41" s="2" t="s">
        <v>33</v>
      </c>
    </row>
    <row r="42" customFormat="false" ht="15" hidden="false" customHeight="false" outlineLevel="0" collapsed="false">
      <c r="A42" s="2"/>
    </row>
    <row r="43" customFormat="false" ht="15" hidden="false" customHeight="false" outlineLevel="0" collapsed="false">
      <c r="A43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2"/>
    <col collapsed="false" customWidth="true" hidden="false" outlineLevel="0" max="10" min="8" style="0" width="14"/>
    <col collapsed="false" customWidth="true" hidden="false" outlineLevel="0" max="11" min="11" style="0" width="10"/>
    <col collapsed="false" customWidth="true" hidden="false" outlineLevel="0" max="12" min="12" style="0" width="20"/>
  </cols>
  <sheetData>
    <row r="1" customFormat="false" ht="26.85" hidden="false" customHeight="fals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</row>
    <row r="2" customFormat="false" ht="15" hidden="true" customHeight="false" outlineLevel="0" collapsed="false">
      <c r="A2" s="0" t="s">
        <v>47</v>
      </c>
      <c r="B2" s="5" t="n">
        <v>0.15</v>
      </c>
      <c r="C2" s="5" t="n">
        <v>0.15</v>
      </c>
      <c r="D2" s="5" t="n">
        <v>0.15</v>
      </c>
      <c r="E2" s="5" t="n">
        <v>0.15</v>
      </c>
      <c r="F2" s="5" t="n">
        <v>0.1</v>
      </c>
      <c r="G2" s="5" t="n">
        <v>0.1</v>
      </c>
      <c r="H2" s="5" t="n">
        <v>0.1</v>
      </c>
      <c r="I2" s="5" t="n">
        <v>0.1</v>
      </c>
    </row>
    <row r="3" customFormat="false" ht="15" hidden="false" customHeight="false" outlineLevel="0" collapsed="false">
      <c r="A3" s="0" t="s">
        <v>48</v>
      </c>
      <c r="B3" s="6" t="n">
        <v>9</v>
      </c>
      <c r="C3" s="6" t="n">
        <v>9</v>
      </c>
      <c r="D3" s="6" t="n">
        <v>10</v>
      </c>
      <c r="E3" s="6" t="n">
        <v>8</v>
      </c>
      <c r="F3" s="6" t="n">
        <v>8</v>
      </c>
      <c r="G3" s="6" t="n">
        <v>10</v>
      </c>
      <c r="H3" s="6" t="n">
        <v>4</v>
      </c>
      <c r="I3" s="6" t="n">
        <v>5</v>
      </c>
      <c r="J3" s="5" t="n">
        <f aca="false">ROUND((B3*$B$2+C3*$C$2+D3*$D$2+E3*$E$2+F3*$F$2+G3*$G$2+(10-H3)*$H$2+(10-I3)*$I$2)/SUM($B$2:$I$2),1)</f>
        <v>8.3</v>
      </c>
      <c r="K3" s="5" t="str">
        <f aca="false">IF(J3&gt;=7.5,"Tier 1",IF(J3&gt;=5.5,"Tier 2","Tier 3"))</f>
        <v>Tier 1</v>
      </c>
    </row>
    <row r="4" customFormat="false" ht="15" hidden="false" customHeight="false" outlineLevel="0" collapsed="false">
      <c r="A4" s="0" t="s">
        <v>49</v>
      </c>
      <c r="B4" s="6" t="n">
        <v>10</v>
      </c>
      <c r="C4" s="6" t="n">
        <v>8</v>
      </c>
      <c r="D4" s="6" t="n">
        <v>7</v>
      </c>
      <c r="E4" s="6" t="n">
        <v>9</v>
      </c>
      <c r="F4" s="6" t="n">
        <v>8</v>
      </c>
      <c r="G4" s="6" t="n">
        <v>3</v>
      </c>
      <c r="H4" s="6" t="n">
        <v>4</v>
      </c>
      <c r="I4" s="6" t="n">
        <v>3</v>
      </c>
      <c r="J4" s="5" t="n">
        <f aca="false">ROUND((B4*$B$2+C4*$C$2+D4*$D$2+E4*$E$2+F4*$F$2+G4*$G$2+(10-H4)*$H$2+(10-I4)*$I$2)/SUM($B$2:$I$2),1)</f>
        <v>7.5</v>
      </c>
      <c r="K4" s="5" t="str">
        <f aca="false">IF(J4&gt;=7.5,"Tier 1",IF(J4&gt;=5.5,"Tier 2","Tier 3"))</f>
        <v>Tier 1</v>
      </c>
    </row>
    <row r="5" customFormat="false" ht="15" hidden="false" customHeight="false" outlineLevel="0" collapsed="false">
      <c r="A5" s="0" t="s">
        <v>50</v>
      </c>
      <c r="B5" s="6" t="n">
        <v>10</v>
      </c>
      <c r="C5" s="6" t="n">
        <v>9</v>
      </c>
      <c r="D5" s="6" t="n">
        <v>8</v>
      </c>
      <c r="E5" s="6" t="n">
        <v>10</v>
      </c>
      <c r="F5" s="6" t="n">
        <v>7</v>
      </c>
      <c r="G5" s="6" t="n">
        <v>2</v>
      </c>
      <c r="H5" s="6" t="n">
        <v>3</v>
      </c>
      <c r="I5" s="6" t="n">
        <v>4</v>
      </c>
      <c r="J5" s="5" t="n">
        <f aca="false">ROUND((B5*$B$2+C5*$C$2+D5*$D$2+E5*$E$2+F5*$F$2+G5*$G$2+(10-H5)*$H$2+(10-I5)*$I$2)/SUM($B$2:$I$2),1)</f>
        <v>7.8</v>
      </c>
      <c r="K5" s="5" t="str">
        <f aca="false">IF(J5&gt;=7.5,"Tier 1",IF(J5&gt;=5.5,"Tier 2","Tier 3"))</f>
        <v>Tier 1</v>
      </c>
    </row>
    <row r="6" customFormat="false" ht="15" hidden="false" customHeight="false" outlineLevel="0" collapsed="false">
      <c r="A6" s="0" t="s">
        <v>51</v>
      </c>
      <c r="B6" s="6" t="n">
        <v>8</v>
      </c>
      <c r="C6" s="6" t="n">
        <v>8</v>
      </c>
      <c r="D6" s="6" t="n">
        <v>10</v>
      </c>
      <c r="E6" s="6" t="n">
        <v>8</v>
      </c>
      <c r="F6" s="6" t="n">
        <v>8</v>
      </c>
      <c r="G6" s="6" t="n">
        <v>5</v>
      </c>
      <c r="H6" s="6" t="n">
        <v>4</v>
      </c>
      <c r="I6" s="6" t="n">
        <v>5</v>
      </c>
      <c r="J6" s="5" t="n">
        <f aca="false">ROUND((B6*$B$2+C6*$C$2+D6*$D$2+E6*$E$2+F6*$F$2+G6*$G$2+(10-H6)*$H$2+(10-I6)*$I$2)/SUM($B$2:$I$2),1)</f>
        <v>7.5</v>
      </c>
      <c r="K6" s="5" t="str">
        <f aca="false">IF(J6&gt;=7.5,"Tier 1",IF(J6&gt;=5.5,"Tier 2","Tier 3"))</f>
        <v>Tier 1</v>
      </c>
    </row>
    <row r="7" customFormat="false" ht="15" hidden="false" customHeight="false" outlineLevel="0" collapsed="false">
      <c r="A7" s="0" t="s">
        <v>52</v>
      </c>
      <c r="B7" s="6" t="n">
        <v>7</v>
      </c>
      <c r="C7" s="6" t="n">
        <v>7</v>
      </c>
      <c r="D7" s="6" t="n">
        <v>7</v>
      </c>
      <c r="E7" s="6" t="n">
        <v>7</v>
      </c>
      <c r="F7" s="6" t="n">
        <v>8</v>
      </c>
      <c r="G7" s="6" t="n">
        <v>10</v>
      </c>
      <c r="H7" s="6" t="n">
        <v>8</v>
      </c>
      <c r="I7" s="6" t="n">
        <v>7</v>
      </c>
      <c r="J7" s="5" t="n">
        <f aca="false">ROUND((B7*$B$2+C7*$C$2+D7*$D$2+E7*$E$2+F7*$F$2+G7*$G$2+(10-H7)*$H$2+(10-I7)*$I$2)/SUM($B$2:$I$2),1)</f>
        <v>6.5</v>
      </c>
      <c r="K7" s="5" t="str">
        <f aca="false">IF(J7&gt;=7.5,"Tier 1",IF(J7&gt;=5.5,"Tier 2","Tier 3"))</f>
        <v>Tier 2</v>
      </c>
    </row>
    <row r="8" customFormat="false" ht="15" hidden="false" customHeight="false" outlineLevel="0" collapsed="false">
      <c r="A8" s="0" t="s">
        <v>53</v>
      </c>
      <c r="B8" s="6" t="n">
        <v>8</v>
      </c>
      <c r="C8" s="6" t="n">
        <v>8</v>
      </c>
      <c r="D8" s="6" t="n">
        <v>8</v>
      </c>
      <c r="E8" s="6" t="n">
        <v>8</v>
      </c>
      <c r="F8" s="6" t="n">
        <v>7</v>
      </c>
      <c r="G8" s="6" t="n">
        <v>2</v>
      </c>
      <c r="H8" s="6" t="n">
        <v>6</v>
      </c>
      <c r="I8" s="6" t="n">
        <v>4</v>
      </c>
      <c r="J8" s="5" t="n">
        <f aca="false">ROUND((B8*$B$2+C8*$C$2+D8*$D$2+E8*$E$2+F8*$F$2+G8*$G$2+(10-H8)*$H$2+(10-I8)*$I$2)/SUM($B$2:$I$2),1)</f>
        <v>6.7</v>
      </c>
      <c r="K8" s="5" t="str">
        <f aca="false">IF(J8&gt;=7.5,"Tier 1",IF(J8&gt;=5.5,"Tier 2","Tier 3"))</f>
        <v>Tier 2</v>
      </c>
    </row>
    <row r="9" customFormat="false" ht="15" hidden="false" customHeight="false" outlineLevel="0" collapsed="false">
      <c r="A9" s="0" t="s">
        <v>54</v>
      </c>
      <c r="B9" s="6" t="n">
        <v>8</v>
      </c>
      <c r="C9" s="6" t="n">
        <v>10</v>
      </c>
      <c r="D9" s="6" t="n">
        <v>9</v>
      </c>
      <c r="E9" s="6" t="n">
        <v>7</v>
      </c>
      <c r="F9" s="6" t="n">
        <v>9</v>
      </c>
      <c r="G9" s="6" t="n">
        <v>2</v>
      </c>
      <c r="H9" s="6" t="n">
        <v>3</v>
      </c>
      <c r="I9" s="6" t="n">
        <v>5</v>
      </c>
      <c r="J9" s="5" t="n">
        <f aca="false">ROUND((B9*$B$2+C9*$C$2+D9*$D$2+E9*$E$2+F9*$F$2+G9*$G$2+(10-H9)*$H$2+(10-I9)*$I$2)/SUM($B$2:$I$2),1)</f>
        <v>7.4</v>
      </c>
      <c r="K9" s="5" t="str">
        <f aca="false">IF(J9&gt;=7.5,"Tier 1",IF(J9&gt;=5.5,"Tier 2","Tier 3"))</f>
        <v>Tier 2</v>
      </c>
    </row>
    <row r="10" customFormat="false" ht="15" hidden="false" customHeight="false" outlineLevel="0" collapsed="false">
      <c r="A10" s="0" t="s">
        <v>55</v>
      </c>
      <c r="B10" s="6" t="n">
        <v>9</v>
      </c>
      <c r="C10" s="6" t="n">
        <v>10</v>
      </c>
      <c r="D10" s="6" t="n">
        <v>9</v>
      </c>
      <c r="E10" s="6" t="n">
        <v>8</v>
      </c>
      <c r="F10" s="6" t="n">
        <v>9</v>
      </c>
      <c r="G10" s="6" t="n">
        <v>1</v>
      </c>
      <c r="H10" s="6" t="n">
        <v>2</v>
      </c>
      <c r="I10" s="6" t="n">
        <v>3</v>
      </c>
      <c r="J10" s="5" t="n">
        <f aca="false">ROUND((B10*$B$2+C10*$C$2+D10*$D$2+E10*$E$2+F10*$F$2+G10*$G$2+(10-H10)*$H$2+(10-I10)*$I$2)/SUM($B$2:$I$2),1)</f>
        <v>7.9</v>
      </c>
      <c r="K10" s="5" t="str">
        <f aca="false">IF(J10&gt;=7.5,"Tier 1",IF(J10&gt;=5.5,"Tier 2","Tier 3"))</f>
        <v>Tier 1</v>
      </c>
    </row>
    <row r="11" customFormat="false" ht="15" hidden="false" customHeight="false" outlineLevel="0" collapsed="false">
      <c r="A11" s="0" t="s">
        <v>56</v>
      </c>
      <c r="B11" s="6" t="n">
        <v>8</v>
      </c>
      <c r="C11" s="6" t="n">
        <v>9</v>
      </c>
      <c r="D11" s="6" t="n">
        <v>9</v>
      </c>
      <c r="E11" s="6" t="n">
        <v>10</v>
      </c>
      <c r="F11" s="6" t="n">
        <v>10</v>
      </c>
      <c r="G11" s="6" t="n">
        <v>2</v>
      </c>
      <c r="H11" s="6" t="n">
        <v>2</v>
      </c>
      <c r="I11" s="6" t="n">
        <v>4</v>
      </c>
      <c r="J11" s="5" t="n">
        <f aca="false">ROUND((B11*$B$2+C11*$C$2+D11*$D$2+E11*$E$2+F11*$F$2+G11*$G$2+(10-H11)*$H$2+(10-I11)*$I$2)/SUM($B$2:$I$2),1)</f>
        <v>8</v>
      </c>
      <c r="K11" s="5" t="str">
        <f aca="false">IF(J11&gt;=7.5,"Tier 1",IF(J11&gt;=5.5,"Tier 2","Tier 3"))</f>
        <v>Tier 1</v>
      </c>
    </row>
    <row r="12" customFormat="false" ht="15" hidden="false" customHeight="false" outlineLevel="0" collapsed="false">
      <c r="A12" s="0" t="s">
        <v>57</v>
      </c>
      <c r="B12" s="6" t="n">
        <v>6</v>
      </c>
      <c r="C12" s="6" t="n">
        <v>5</v>
      </c>
      <c r="D12" s="6" t="n">
        <v>6</v>
      </c>
      <c r="E12" s="6" t="n">
        <v>6</v>
      </c>
      <c r="F12" s="6" t="n">
        <v>6</v>
      </c>
      <c r="G12" s="6" t="n">
        <v>1</v>
      </c>
      <c r="H12" s="6" t="n">
        <v>8</v>
      </c>
      <c r="I12" s="6" t="n">
        <v>8</v>
      </c>
      <c r="J12" s="5" t="n">
        <f aca="false">ROUND((B12*$B$2+C12*$C$2+D12*$D$2+E12*$E$2+F12*$F$2+G12*$G$2+(10-H12)*$H$2+(10-I12)*$I$2)/SUM($B$2:$I$2),1)</f>
        <v>4.6</v>
      </c>
      <c r="K12" s="5" t="str">
        <f aca="false">IF(J12&gt;=7.5,"Tier 1",IF(J12&gt;=5.5,"Tier 2","Tier 3"))</f>
        <v>Tier 3</v>
      </c>
    </row>
    <row r="13" customFormat="false" ht="15" hidden="false" customHeight="false" outlineLevel="0" collapsed="false">
      <c r="A13" s="0" t="s">
        <v>58</v>
      </c>
      <c r="B13" s="6" t="n">
        <v>4</v>
      </c>
      <c r="C13" s="6" t="n">
        <v>2</v>
      </c>
      <c r="D13" s="6" t="n">
        <v>3</v>
      </c>
      <c r="E13" s="6" t="n">
        <v>2</v>
      </c>
      <c r="F13" s="6" t="n">
        <v>3</v>
      </c>
      <c r="G13" s="6" t="n">
        <v>1</v>
      </c>
      <c r="H13" s="6" t="n">
        <v>9</v>
      </c>
      <c r="I13" s="6" t="n">
        <v>5</v>
      </c>
      <c r="J13" s="5" t="n">
        <f aca="false">ROUND((B13*$B$2+C13*$C$2+D13*$D$2+E13*$E$2+F13*$F$2+G13*$G$2+(10-H13)*$H$2+(10-I13)*$I$2)/SUM($B$2:$I$2),1)</f>
        <v>2.7</v>
      </c>
      <c r="K13" s="5" t="str">
        <f aca="false">IF(J13&gt;=7.5,"Tier 1",IF(J13&gt;=5.5,"Tier 2","Tier 3"))</f>
        <v>Tier 3</v>
      </c>
    </row>
    <row r="14" customFormat="false" ht="15" hidden="false" customHeight="false" outlineLevel="0" collapsed="false">
      <c r="A14" s="0" t="s">
        <v>59</v>
      </c>
      <c r="B14" s="6" t="n">
        <v>4</v>
      </c>
      <c r="C14" s="6" t="n">
        <v>2</v>
      </c>
      <c r="D14" s="6" t="n">
        <v>4</v>
      </c>
      <c r="E14" s="6" t="n">
        <v>2</v>
      </c>
      <c r="F14" s="6" t="n">
        <v>2</v>
      </c>
      <c r="G14" s="6" t="n">
        <v>1</v>
      </c>
      <c r="H14" s="6" t="n">
        <v>10</v>
      </c>
      <c r="I14" s="6" t="n">
        <v>6</v>
      </c>
      <c r="J14" s="5" t="n">
        <f aca="false">ROUND((B14*$B$2+C14*$C$2+D14*$D$2+E14*$E$2+F14*$F$2+G14*$G$2+(10-H14)*$H$2+(10-I14)*$I$2)/SUM($B$2:$I$2),1)</f>
        <v>2.5</v>
      </c>
      <c r="K14" s="5" t="str">
        <f aca="false">IF(J14&gt;=7.5,"Tier 1",IF(J14&gt;=5.5,"Tier 2","Tier 3"))</f>
        <v>Tier 3</v>
      </c>
    </row>
    <row r="15" customFormat="false" ht="15" hidden="false" customHeight="false" outlineLevel="0" collapsed="false">
      <c r="A15" s="0" t="s">
        <v>60</v>
      </c>
      <c r="B15" s="6" t="n">
        <v>2</v>
      </c>
      <c r="C15" s="6" t="n">
        <v>2</v>
      </c>
      <c r="D15" s="6" t="n">
        <v>5</v>
      </c>
      <c r="E15" s="6" t="n">
        <v>3</v>
      </c>
      <c r="F15" s="6" t="n">
        <v>1</v>
      </c>
      <c r="G15" s="6" t="n">
        <v>1</v>
      </c>
      <c r="H15" s="6" t="n">
        <v>2</v>
      </c>
      <c r="I15" s="6" t="n">
        <v>1</v>
      </c>
      <c r="J15" s="5" t="n">
        <f aca="false">ROUND((B15*$B$2+C15*$C$2+D15*$D$2+E15*$E$2+F15*$F$2+G15*$G$2+(10-H15)*$H$2+(10-I15)*$I$2)/SUM($B$2:$I$2),1)</f>
        <v>3.7</v>
      </c>
      <c r="K15" s="5" t="str">
        <f aca="false">IF(J15&gt;=7.5,"Tier 1",IF(J15&gt;=5.5,"Tier 2","Tier 3"))</f>
        <v>Tier 3</v>
      </c>
    </row>
    <row r="16" customFormat="false" ht="15" hidden="false" customHeight="false" outlineLevel="0" collapsed="false">
      <c r="A16" s="0" t="s">
        <v>61</v>
      </c>
      <c r="B16" s="6" t="n">
        <v>1</v>
      </c>
      <c r="C16" s="6" t="n">
        <v>1</v>
      </c>
      <c r="D16" s="6" t="n">
        <v>3</v>
      </c>
      <c r="E16" s="6" t="n">
        <v>2</v>
      </c>
      <c r="F16" s="6" t="n">
        <v>1</v>
      </c>
      <c r="G16" s="6" t="n">
        <v>1</v>
      </c>
      <c r="H16" s="6" t="n">
        <v>2</v>
      </c>
      <c r="I16" s="6" t="n">
        <v>1</v>
      </c>
      <c r="J16" s="5" t="n">
        <f aca="false">ROUND((B16*$B$2+C16*$C$2+D16*$D$2+E16*$E$2+F16*$F$2+G16*$G$2+(10-H16)*$H$2+(10-I16)*$I$2)/SUM($B$2:$I$2),1)</f>
        <v>3</v>
      </c>
      <c r="K16" s="5" t="str">
        <f aca="false">IF(J16&gt;=7.5,"Tier 1",IF(J16&gt;=5.5,"Tier 2","Tier 3"))</f>
        <v>Tier 3</v>
      </c>
    </row>
    <row r="19" customFormat="false" ht="15" hidden="false" customHeight="false" outlineLevel="0" collapsed="false">
      <c r="A19" s="7" t="s">
        <v>62</v>
      </c>
    </row>
    <row r="20" customFormat="false" ht="39.55" hidden="false" customHeight="false" outlineLevel="0" collapsed="false">
      <c r="A20" s="4" t="s">
        <v>63</v>
      </c>
      <c r="B20" s="4" t="s">
        <v>64</v>
      </c>
      <c r="C20" s="4" t="s">
        <v>65</v>
      </c>
      <c r="D20" s="4" t="s">
        <v>66</v>
      </c>
      <c r="E20" s="4" t="s">
        <v>67</v>
      </c>
    </row>
    <row r="21" customFormat="false" ht="15" hidden="false" customHeight="false" outlineLevel="0" collapsed="false">
      <c r="A21" s="0" t="n">
        <v>1</v>
      </c>
      <c r="B21" s="0" t="s">
        <v>68</v>
      </c>
      <c r="C21" s="0" t="s">
        <v>69</v>
      </c>
      <c r="D21" s="0" t="s">
        <v>70</v>
      </c>
    </row>
    <row r="22" customFormat="false" ht="15" hidden="false" customHeight="false" outlineLevel="0" collapsed="false">
      <c r="A22" s="0" t="n">
        <v>2</v>
      </c>
      <c r="B22" s="0" t="s">
        <v>71</v>
      </c>
      <c r="C22" s="0" t="s">
        <v>72</v>
      </c>
      <c r="D22" s="0" t="s">
        <v>73</v>
      </c>
    </row>
    <row r="23" customFormat="false" ht="15" hidden="false" customHeight="false" outlineLevel="0" collapsed="false">
      <c r="A23" s="0" t="n">
        <v>3</v>
      </c>
      <c r="B23" s="0" t="s">
        <v>74</v>
      </c>
      <c r="C23" s="0" t="s">
        <v>75</v>
      </c>
      <c r="D23" s="0" t="s">
        <v>76</v>
      </c>
    </row>
    <row r="24" customFormat="false" ht="15" hidden="false" customHeight="false" outlineLevel="0" collapsed="false">
      <c r="A24" s="0" t="n">
        <v>4</v>
      </c>
      <c r="B24" s="0" t="s">
        <v>77</v>
      </c>
      <c r="C24" s="0" t="s">
        <v>78</v>
      </c>
      <c r="D24" s="0" t="s">
        <v>79</v>
      </c>
    </row>
    <row r="25" customFormat="false" ht="15" hidden="false" customHeight="false" outlineLevel="0" collapsed="false">
      <c r="A25" s="0" t="n">
        <v>5</v>
      </c>
      <c r="B25" s="0" t="s">
        <v>80</v>
      </c>
      <c r="C25" s="0" t="s">
        <v>81</v>
      </c>
      <c r="D25" s="0" t="s">
        <v>82</v>
      </c>
    </row>
    <row r="28" customFormat="false" ht="15" hidden="false" customHeight="false" outlineLevel="0" collapsed="false">
      <c r="A28" s="7" t="s">
        <v>83</v>
      </c>
    </row>
    <row r="29" customFormat="false" ht="26.85" hidden="false" customHeight="false" outlineLevel="0" collapsed="false">
      <c r="A29" s="4" t="s">
        <v>63</v>
      </c>
      <c r="B29" s="4" t="s">
        <v>84</v>
      </c>
      <c r="C29" s="4" t="s">
        <v>65</v>
      </c>
      <c r="D29" s="4" t="s">
        <v>85</v>
      </c>
      <c r="E29" s="4" t="s">
        <v>86</v>
      </c>
    </row>
    <row r="30" customFormat="false" ht="15" hidden="false" customHeight="false" outlineLevel="0" collapsed="false">
      <c r="A30" s="0" t="n">
        <v>1</v>
      </c>
      <c r="B30" s="0" t="s">
        <v>87</v>
      </c>
      <c r="C30" s="0" t="s">
        <v>88</v>
      </c>
      <c r="D30" s="0" t="s">
        <v>89</v>
      </c>
    </row>
    <row r="31" customFormat="false" ht="15" hidden="false" customHeight="false" outlineLevel="0" collapsed="false">
      <c r="A31" s="0" t="n">
        <v>2</v>
      </c>
      <c r="B31" s="0" t="s">
        <v>90</v>
      </c>
      <c r="C31" s="0" t="s">
        <v>91</v>
      </c>
      <c r="D31" s="0" t="s">
        <v>92</v>
      </c>
    </row>
    <row r="32" customFormat="false" ht="15" hidden="false" customHeight="false" outlineLevel="0" collapsed="false">
      <c r="A32" s="0" t="n">
        <v>3</v>
      </c>
      <c r="B32" s="0" t="s">
        <v>93</v>
      </c>
      <c r="C32" s="0" t="s">
        <v>94</v>
      </c>
      <c r="D32" s="0" t="s">
        <v>95</v>
      </c>
    </row>
    <row r="33" customFormat="false" ht="15" hidden="false" customHeight="false" outlineLevel="0" collapsed="false">
      <c r="A33" s="0" t="n">
        <v>4</v>
      </c>
      <c r="B33" s="0" t="s">
        <v>96</v>
      </c>
      <c r="C33" s="0" t="s">
        <v>97</v>
      </c>
      <c r="D33" s="0" t="s">
        <v>98</v>
      </c>
    </row>
    <row r="34" customFormat="false" ht="15" hidden="false" customHeight="false" outlineLevel="0" collapsed="false">
      <c r="A34" s="0" t="n">
        <v>5</v>
      </c>
      <c r="B34" s="0" t="s">
        <v>99</v>
      </c>
      <c r="C34" s="0" t="s">
        <v>100</v>
      </c>
      <c r="D34" s="0" t="s">
        <v>101</v>
      </c>
    </row>
    <row r="35" customFormat="false" ht="15" hidden="false" customHeight="false" outlineLevel="0" collapsed="false">
      <c r="A35" s="0" t="n">
        <v>6</v>
      </c>
      <c r="B35" s="0" t="s">
        <v>102</v>
      </c>
      <c r="C35" s="0" t="s">
        <v>103</v>
      </c>
      <c r="D35" s="0" t="s">
        <v>104</v>
      </c>
    </row>
    <row r="36" customFormat="false" ht="15" hidden="false" customHeight="false" outlineLevel="0" collapsed="false">
      <c r="A36" s="0" t="n">
        <v>7</v>
      </c>
      <c r="B36" s="0" t="s">
        <v>105</v>
      </c>
      <c r="C36" s="0" t="s">
        <v>106</v>
      </c>
      <c r="D36" s="0" t="s">
        <v>107</v>
      </c>
      <c r="E36" s="0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7" t="s">
        <v>109</v>
      </c>
      <c r="B1" s="7"/>
    </row>
    <row r="2" customFormat="false" ht="15" hidden="false" customHeight="false" outlineLevel="0" collapsed="false">
      <c r="A2" s="4" t="s">
        <v>110</v>
      </c>
      <c r="B2" s="4" t="s">
        <v>111</v>
      </c>
      <c r="C2" s="4" t="s">
        <v>112</v>
      </c>
      <c r="D2" s="4" t="s">
        <v>46</v>
      </c>
    </row>
    <row r="3" customFormat="false" ht="15" hidden="false" customHeight="false" outlineLevel="0" collapsed="false">
      <c r="A3" s="0" t="s">
        <v>113</v>
      </c>
      <c r="B3" s="0" t="s">
        <v>114</v>
      </c>
      <c r="C3" s="0" t="s">
        <v>115</v>
      </c>
      <c r="D3" s="0" t="s">
        <v>116</v>
      </c>
    </row>
    <row r="4" customFormat="false" ht="15" hidden="false" customHeight="false" outlineLevel="0" collapsed="false">
      <c r="A4" s="0" t="s">
        <v>117</v>
      </c>
      <c r="B4" s="0" t="s">
        <v>118</v>
      </c>
      <c r="C4" s="0" t="s">
        <v>119</v>
      </c>
      <c r="D4" s="0" t="s">
        <v>120</v>
      </c>
    </row>
    <row r="5" customFormat="false" ht="15" hidden="false" customHeight="false" outlineLevel="0" collapsed="false">
      <c r="A5" s="0" t="s">
        <v>121</v>
      </c>
      <c r="B5" s="0" t="s">
        <v>122</v>
      </c>
      <c r="C5" s="0" t="s">
        <v>123</v>
      </c>
      <c r="D5" s="0" t="s">
        <v>124</v>
      </c>
    </row>
    <row r="7" customFormat="false" ht="15" hidden="false" customHeight="false" outlineLevel="0" collapsed="false">
      <c r="A7" s="7" t="s">
        <v>125</v>
      </c>
      <c r="B7" s="7"/>
    </row>
    <row r="8" customFormat="false" ht="15" hidden="false" customHeight="false" outlineLevel="0" collapsed="false">
      <c r="A8" s="4" t="s">
        <v>126</v>
      </c>
      <c r="B8" s="4" t="s">
        <v>127</v>
      </c>
      <c r="C8" s="4" t="s">
        <v>128</v>
      </c>
      <c r="D8" s="4" t="s">
        <v>129</v>
      </c>
    </row>
    <row r="9" customFormat="false" ht="15" hidden="false" customHeight="false" outlineLevel="0" collapsed="false">
      <c r="A9" s="0" t="s">
        <v>130</v>
      </c>
      <c r="B9" s="6"/>
      <c r="C9" s="8" t="s">
        <v>131</v>
      </c>
    </row>
    <row r="10" customFormat="false" ht="15" hidden="false" customHeight="false" outlineLevel="0" collapsed="false">
      <c r="A10" s="0" t="s">
        <v>132</v>
      </c>
      <c r="B10" s="6"/>
      <c r="C10" s="8" t="s">
        <v>131</v>
      </c>
    </row>
    <row r="11" customFormat="false" ht="15" hidden="false" customHeight="false" outlineLevel="0" collapsed="false">
      <c r="A11" s="0" t="s">
        <v>133</v>
      </c>
      <c r="B11" s="6"/>
      <c r="C11" s="8" t="s">
        <v>131</v>
      </c>
    </row>
    <row r="12" customFormat="false" ht="15" hidden="false" customHeight="false" outlineLevel="0" collapsed="false">
      <c r="A12" s="0" t="s">
        <v>134</v>
      </c>
      <c r="B12" s="6"/>
      <c r="C12" s="8" t="s">
        <v>135</v>
      </c>
    </row>
    <row r="13" customFormat="false" ht="15" hidden="false" customHeight="false" outlineLevel="0" collapsed="false">
      <c r="A13" s="0" t="s">
        <v>136</v>
      </c>
      <c r="B13" s="6"/>
      <c r="C13" s="8" t="s">
        <v>137</v>
      </c>
    </row>
    <row r="14" customFormat="false" ht="15" hidden="false" customHeight="false" outlineLevel="0" collapsed="false">
      <c r="A14" s="0" t="s">
        <v>138</v>
      </c>
      <c r="B14" s="6" t="n">
        <v>0.2</v>
      </c>
      <c r="C14" s="8" t="s">
        <v>139</v>
      </c>
    </row>
    <row r="15" customFormat="false" ht="15" hidden="false" customHeight="false" outlineLevel="0" collapsed="false">
      <c r="A15" s="0" t="s">
        <v>140</v>
      </c>
      <c r="B15" s="9" t="n">
        <v>0.1</v>
      </c>
      <c r="C15" s="8" t="s">
        <v>131</v>
      </c>
    </row>
    <row r="16" customFormat="false" ht="15" hidden="false" customHeight="false" outlineLevel="0" collapsed="false">
      <c r="A16" s="0" t="s">
        <v>141</v>
      </c>
      <c r="B16" s="9" t="n">
        <v>0.08</v>
      </c>
      <c r="C16" s="8" t="s">
        <v>131</v>
      </c>
    </row>
    <row r="17" customFormat="false" ht="15" hidden="false" customHeight="false" outlineLevel="0" collapsed="false">
      <c r="A17" s="0" t="s">
        <v>142</v>
      </c>
      <c r="B17" s="9" t="n">
        <v>10</v>
      </c>
      <c r="C17" s="8" t="s">
        <v>131</v>
      </c>
    </row>
    <row r="18" customFormat="false" ht="15" hidden="false" customHeight="false" outlineLevel="0" collapsed="false">
      <c r="A18" s="0" t="s">
        <v>143</v>
      </c>
      <c r="B18" s="9"/>
      <c r="C18" s="8" t="s">
        <v>144</v>
      </c>
    </row>
    <row r="19" customFormat="false" ht="15" hidden="false" customHeight="false" outlineLevel="0" collapsed="false">
      <c r="A19" s="0" t="s">
        <v>145</v>
      </c>
      <c r="B19" s="9"/>
      <c r="C19" s="8" t="s">
        <v>131</v>
      </c>
    </row>
    <row r="20" customFormat="false" ht="15" hidden="false" customHeight="false" outlineLevel="0" collapsed="false">
      <c r="B20" s="6"/>
    </row>
    <row r="21" customFormat="false" ht="15" hidden="false" customHeight="false" outlineLevel="0" collapsed="false">
      <c r="A21" s="0" t="s">
        <v>146</v>
      </c>
      <c r="B21" s="5" t="str">
        <f aca="false">IF(B12=0,"",B9/B12)</f>
        <v/>
      </c>
      <c r="C21" s="0" t="str">
        <f aca="false">IF(B11=0,"",B9/B11)</f>
        <v/>
      </c>
    </row>
    <row r="22" customFormat="false" ht="15" hidden="false" customHeight="false" outlineLevel="0" collapsed="false">
      <c r="A22" s="0" t="s">
        <v>147</v>
      </c>
      <c r="B22" s="5" t="str">
        <f aca="false">IF(B13=0,"",B9/B13)</f>
        <v/>
      </c>
      <c r="C22" s="0" t="str">
        <f aca="false">IF(B13=0,"",B9/B13)</f>
        <v/>
      </c>
    </row>
    <row r="23" customFormat="false" ht="15" hidden="false" customHeight="false" outlineLevel="0" collapsed="false">
      <c r="A23" s="0" t="s">
        <v>148</v>
      </c>
      <c r="B23" s="5" t="n">
        <f aca="false">B9*B14</f>
        <v>0</v>
      </c>
      <c r="C23" s="8" t="n">
        <f aca="false">B9*B15</f>
        <v>0</v>
      </c>
    </row>
    <row r="24" customFormat="false" ht="15" hidden="false" customHeight="false" outlineLevel="0" collapsed="false">
      <c r="A24" s="0" t="s">
        <v>149</v>
      </c>
      <c r="B24" s="5" t="n">
        <f aca="false">B9*(1-B14-B15)</f>
        <v>0</v>
      </c>
      <c r="C24" s="8" t="n">
        <f aca="false">B9*(1-B15-B16)</f>
        <v>0</v>
      </c>
    </row>
    <row r="25" customFormat="false" ht="15" hidden="false" customHeight="false" outlineLevel="0" collapsed="false">
      <c r="A25" s="0" t="s">
        <v>150</v>
      </c>
      <c r="B25" s="5" t="n">
        <f aca="false">IF(AND(B16&gt;0,B17&gt;0),ABS(PMT(B16,B17,-B24)),"")</f>
        <v>0</v>
      </c>
      <c r="C25" s="0" t="str">
        <f aca="false">IF(AND(B18&gt;0,B19&gt;0),PMT(B17,B19,-B22),"")</f>
        <v/>
      </c>
    </row>
    <row r="26" customFormat="false" ht="15" hidden="false" customHeight="false" outlineLevel="0" collapsed="false">
      <c r="A26" s="0" t="s">
        <v>151</v>
      </c>
      <c r="B26" s="5" t="str">
        <f aca="false">IF(B25=0,"",B13/B25)</f>
        <v/>
      </c>
      <c r="C26" s="0" t="str">
        <f aca="false">IF(B24=0,"",B13/B24)</f>
        <v/>
      </c>
    </row>
    <row r="27" customFormat="false" ht="15" hidden="false" customHeight="false" outlineLevel="0" collapsed="false">
      <c r="A27" s="0" t="s">
        <v>152</v>
      </c>
      <c r="B27" s="5" t="str">
        <f aca="false">IF(B13="","",B13-B25)</f>
        <v/>
      </c>
      <c r="C27" s="0" t="str">
        <f aca="false">IF(B13="","",B13-B24)</f>
        <v/>
      </c>
    </row>
    <row r="28" customFormat="false" ht="15" hidden="false" customHeight="false" outlineLevel="0" collapsed="false">
      <c r="A28" s="0" t="s">
        <v>153</v>
      </c>
      <c r="B28" s="5" t="str">
        <f aca="false">IF(OR(B13&lt;150000,B13&gt;750000,B9&gt;3000000),"Avoid",IF(AND(B13&gt;=150000,B13&lt;=500000,B9&lt;=2000000),"Preferred",IF(AND(B13&gt;500000,B13&lt;=750000,B9&lt;=3000000),"Stretch","Review")))</f>
        <v>Avoid</v>
      </c>
      <c r="C28" s="8" t="s">
        <v>154</v>
      </c>
    </row>
    <row r="29" customFormat="false" ht="15" hidden="false" customHeight="false" outlineLevel="0" collapsed="false">
      <c r="A29" s="0" t="s">
        <v>155</v>
      </c>
      <c r="B29" s="5" t="str">
        <f aca="false">IF(OR(B18="",B23&gt;B18,B26&lt;1.25,B27&lt;B19),"YES","NO")</f>
        <v>YES</v>
      </c>
      <c r="C29" s="8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7" t="s">
        <v>156</v>
      </c>
    </row>
    <row r="3" customFormat="false" ht="15" hidden="false" customHeight="false" outlineLevel="0" collapsed="false">
      <c r="A3" s="7" t="s">
        <v>157</v>
      </c>
    </row>
    <row r="4" customFormat="false" ht="15" hidden="false" customHeight="false" outlineLevel="0" collapsed="false">
      <c r="A4" s="4" t="s">
        <v>158</v>
      </c>
      <c r="B4" s="4" t="s">
        <v>159</v>
      </c>
      <c r="C4" s="4" t="s">
        <v>129</v>
      </c>
    </row>
    <row r="5" customFormat="false" ht="15" hidden="false" customHeight="false" outlineLevel="0" collapsed="false">
      <c r="A5" s="0" t="s">
        <v>160</v>
      </c>
      <c r="B5" s="6"/>
      <c r="C5" s="5" t="str">
        <f aca="false">IF(B5="","Incomplete",IF(OR(B5="NO",B5="Unknown"),"Fail","Pass"))</f>
        <v>Incomplete</v>
      </c>
    </row>
    <row r="6" customFormat="false" ht="15" hidden="false" customHeight="false" outlineLevel="0" collapsed="false">
      <c r="A6" s="0" t="s">
        <v>161</v>
      </c>
      <c r="B6" s="6"/>
      <c r="C6" s="5" t="str">
        <f aca="false">IF(B6="","Incomplete",IF(OR(B6="NO",B6="Unknown"),"Fail","Pass"))</f>
        <v>Incomplete</v>
      </c>
    </row>
    <row r="7" customFormat="false" ht="15" hidden="false" customHeight="false" outlineLevel="0" collapsed="false">
      <c r="A7" s="0" t="s">
        <v>162</v>
      </c>
      <c r="B7" s="6" t="s">
        <v>163</v>
      </c>
      <c r="C7" s="5" t="str">
        <f aca="false">IF(B7="","Incomplete",IF(OR(B7="NO",B7="Unknown"),"Fail","Pass"))</f>
        <v>Fail</v>
      </c>
    </row>
    <row r="8" customFormat="false" ht="15" hidden="false" customHeight="false" outlineLevel="0" collapsed="false">
      <c r="A8" s="0" t="s">
        <v>164</v>
      </c>
      <c r="B8" s="6"/>
      <c r="C8" s="5" t="str">
        <f aca="false">IF(B8="","Incomplete",IF(OR(B8="NO",B8="Unknown"),"Fail","Pass"))</f>
        <v>Incomplete</v>
      </c>
    </row>
    <row r="9" customFormat="false" ht="15" hidden="false" customHeight="false" outlineLevel="0" collapsed="false">
      <c r="A9" s="0" t="s">
        <v>165</v>
      </c>
      <c r="B9" s="6" t="s">
        <v>163</v>
      </c>
      <c r="C9" s="5" t="str">
        <f aca="false">IF(B9="","Incomplete",IF(OR(B9="NO",B9="Unknown"),"Fail","Pass"))</f>
        <v>Fail</v>
      </c>
    </row>
    <row r="11" customFormat="false" ht="15" hidden="false" customHeight="false" outlineLevel="0" collapsed="false">
      <c r="A11" s="7" t="s">
        <v>166</v>
      </c>
    </row>
    <row r="12" customFormat="false" ht="15" hidden="false" customHeight="false" outlineLevel="0" collapsed="false">
      <c r="A12" s="4" t="s">
        <v>158</v>
      </c>
      <c r="B12" s="4" t="s">
        <v>159</v>
      </c>
      <c r="C12" s="4" t="s">
        <v>129</v>
      </c>
    </row>
    <row r="13" customFormat="false" ht="15" hidden="false" customHeight="false" outlineLevel="0" collapsed="false">
      <c r="A13" s="0" t="s">
        <v>167</v>
      </c>
      <c r="B13" s="6"/>
      <c r="C13" s="5" t="str">
        <f aca="false">IF(B13="","Incomplete",IF(OR(B13="NO",B13="Unknown"),"Fail","Pass"))</f>
        <v>Incomplete</v>
      </c>
    </row>
    <row r="14" customFormat="false" ht="15" hidden="false" customHeight="false" outlineLevel="0" collapsed="false">
      <c r="A14" s="0" t="s">
        <v>168</v>
      </c>
      <c r="B14" s="6"/>
      <c r="C14" s="5" t="str">
        <f aca="false">IF(B14="","Incomplete",IF(OR(B14="NO",B14="Unknown"),"Fail","Pass"))</f>
        <v>Incomplete</v>
      </c>
    </row>
    <row r="15" customFormat="false" ht="15" hidden="false" customHeight="false" outlineLevel="0" collapsed="false">
      <c r="A15" s="0" t="s">
        <v>169</v>
      </c>
      <c r="B15" s="6" t="s">
        <v>170</v>
      </c>
      <c r="C15" s="5" t="str">
        <f aca="false">IF(B15="","Incomplete",IF(OR(B15="NO",B15="Unknown"),"Fail","Pass"))</f>
        <v>Fail</v>
      </c>
    </row>
    <row r="16" customFormat="false" ht="15" hidden="false" customHeight="false" outlineLevel="0" collapsed="false">
      <c r="A16" s="0" t="s">
        <v>171</v>
      </c>
      <c r="B16" s="6"/>
      <c r="C16" s="5" t="str">
        <f aca="false">IF(B16="","Incomplete",IF(OR(B16="NO",B16="Unknown"),"Fail","Pass"))</f>
        <v>Incomplete</v>
      </c>
    </row>
    <row r="18" customFormat="false" ht="15" hidden="false" customHeight="false" outlineLevel="0" collapsed="false">
      <c r="A18" s="7" t="s">
        <v>172</v>
      </c>
    </row>
    <row r="19" customFormat="false" ht="15" hidden="false" customHeight="false" outlineLevel="0" collapsed="false">
      <c r="A19" s="4" t="s">
        <v>173</v>
      </c>
      <c r="B19" s="4" t="s">
        <v>174</v>
      </c>
      <c r="C19" s="4" t="s">
        <v>129</v>
      </c>
    </row>
    <row r="20" customFormat="false" ht="15" hidden="false" customHeight="false" outlineLevel="0" collapsed="false">
      <c r="A20" s="0" t="s">
        <v>175</v>
      </c>
      <c r="B20" s="6"/>
      <c r="C20" s="5" t="str">
        <f aca="false">IF(B20="","",IF(B20&gt;=3.5,"Pass","Fail"))</f>
        <v/>
      </c>
    </row>
    <row r="21" customFormat="false" ht="15" hidden="false" customHeight="false" outlineLevel="0" collapsed="false">
      <c r="A21" s="0" t="s">
        <v>176</v>
      </c>
      <c r="B21" s="6"/>
      <c r="C21" s="5" t="str">
        <f aca="false">IF(B21="","",IF(B21&gt;=3.5,"Pass","Fail"))</f>
        <v/>
      </c>
    </row>
    <row r="22" customFormat="false" ht="15" hidden="false" customHeight="false" outlineLevel="0" collapsed="false">
      <c r="A22" s="0" t="s">
        <v>177</v>
      </c>
      <c r="B22" s="6"/>
      <c r="C22" s="5" t="str">
        <f aca="false">IF(B22="","",IF(B22&gt;=3.5,"Pass","Fail"))</f>
        <v/>
      </c>
    </row>
    <row r="23" customFormat="false" ht="15" hidden="false" customHeight="false" outlineLevel="0" collapsed="false">
      <c r="A23" s="0" t="s">
        <v>178</v>
      </c>
      <c r="B23" s="6"/>
      <c r="C23" s="5" t="str">
        <f aca="false">IF(B23="","",IF(B23&gt;=3.5,"Pass","Fail"))</f>
        <v/>
      </c>
    </row>
    <row r="24" customFormat="false" ht="15" hidden="false" customHeight="false" outlineLevel="0" collapsed="false">
      <c r="A24" s="0" t="s">
        <v>179</v>
      </c>
      <c r="B24" s="6"/>
      <c r="C24" s="5" t="str">
        <f aca="false">IF(B24="","",IF(B24&gt;=3.5,"Pass","Fail"))</f>
        <v/>
      </c>
    </row>
    <row r="25" customFormat="false" ht="15" hidden="false" customHeight="false" outlineLevel="0" collapsed="false">
      <c r="A25" s="0" t="s">
        <v>180</v>
      </c>
      <c r="B25" s="6"/>
      <c r="C25" s="5" t="str">
        <f aca="false">IF(B25="","",IF(B25&gt;=3.5,"Pass","Fail"))</f>
        <v/>
      </c>
    </row>
    <row r="26" customFormat="false" ht="15" hidden="false" customHeight="false" outlineLevel="0" collapsed="false">
      <c r="A26" s="0" t="s">
        <v>181</v>
      </c>
      <c r="B26" s="6"/>
      <c r="C26" s="5" t="str">
        <f aca="false">IF(B26="","",IF(B26&gt;=3.5,"Pass","Fail"))</f>
        <v/>
      </c>
    </row>
    <row r="28" customFormat="false" ht="15" hidden="false" customHeight="false" outlineLevel="0" collapsed="false">
      <c r="A28" s="7" t="s">
        <v>182</v>
      </c>
    </row>
    <row r="29" customFormat="false" ht="15" hidden="false" customHeight="false" outlineLevel="0" collapsed="false">
      <c r="A29" s="4" t="s">
        <v>158</v>
      </c>
      <c r="B29" s="4" t="s">
        <v>183</v>
      </c>
      <c r="C29" s="4" t="s">
        <v>129</v>
      </c>
    </row>
    <row r="30" customFormat="false" ht="15" hidden="false" customHeight="false" outlineLevel="0" collapsed="false">
      <c r="A30" s="0" t="s">
        <v>184</v>
      </c>
      <c r="B30" s="6"/>
      <c r="C30" s="5" t="str">
        <f aca="false">IF(B30="","Incomplete",IF(OR(B30="NO",B30="Unknown"),"Fail","Pass"))</f>
        <v>Incomplete</v>
      </c>
    </row>
    <row r="31" customFormat="false" ht="15" hidden="false" customHeight="false" outlineLevel="0" collapsed="false">
      <c r="A31" s="0" t="s">
        <v>185</v>
      </c>
      <c r="B31" s="6"/>
      <c r="C31" s="5" t="str">
        <f aca="false">IF(B31="","Incomplete",IF(OR(B31="NO",B31="Unknown"),"Fail","Pass"))</f>
        <v>Incomplete</v>
      </c>
    </row>
    <row r="32" customFormat="false" ht="15" hidden="false" customHeight="false" outlineLevel="0" collapsed="false">
      <c r="A32" s="0" t="s">
        <v>186</v>
      </c>
      <c r="B32" s="6"/>
      <c r="C32" s="5" t="str">
        <f aca="false">IF(B32="","Incomplete",IF(OR(B32="NO",B32="Unknown"),"Fail","Pass"))</f>
        <v>Incomplete</v>
      </c>
    </row>
    <row r="33" customFormat="false" ht="15" hidden="false" customHeight="false" outlineLevel="0" collapsed="false">
      <c r="A33" s="0" t="s">
        <v>187</v>
      </c>
      <c r="B33" s="6"/>
      <c r="C33" s="5" t="str">
        <f aca="false">IF(B33="","Incomplete",IF(OR(B33="NO",B33="Unknown"),"Fail","Pass"))</f>
        <v>Incomplete</v>
      </c>
    </row>
    <row r="35" customFormat="false" ht="15" hidden="false" customHeight="false" outlineLevel="0" collapsed="false">
      <c r="A35" s="7" t="s">
        <v>188</v>
      </c>
    </row>
    <row r="36" customFormat="false" ht="15" hidden="false" customHeight="false" outlineLevel="0" collapsed="false">
      <c r="A36" s="4" t="s">
        <v>173</v>
      </c>
      <c r="B36" s="4" t="s">
        <v>189</v>
      </c>
      <c r="C36" s="4" t="s">
        <v>190</v>
      </c>
    </row>
    <row r="37" customFormat="false" ht="15" hidden="false" customHeight="false" outlineLevel="0" collapsed="false">
      <c r="A37" s="0" t="s">
        <v>191</v>
      </c>
      <c r="B37" s="6" t="n">
        <v>12</v>
      </c>
      <c r="C37" s="5"/>
    </row>
    <row r="38" customFormat="false" ht="15" hidden="false" customHeight="false" outlineLevel="0" collapsed="false">
      <c r="A38" s="0" t="s">
        <v>192</v>
      </c>
      <c r="B38" s="6" t="n">
        <v>7</v>
      </c>
      <c r="C38" s="5"/>
    </row>
    <row r="39" customFormat="false" ht="15" hidden="false" customHeight="false" outlineLevel="0" collapsed="false">
      <c r="A39" s="0" t="s">
        <v>193</v>
      </c>
      <c r="B39" s="6" t="n">
        <v>5</v>
      </c>
      <c r="C39" s="5"/>
    </row>
    <row r="41" customFormat="false" ht="15" hidden="false" customHeight="false" outlineLevel="0" collapsed="false">
      <c r="A41" s="7" t="s">
        <v>194</v>
      </c>
    </row>
    <row r="42" customFormat="false" ht="15" hidden="false" customHeight="false" outlineLevel="0" collapsed="false">
      <c r="A42" s="4" t="s">
        <v>195</v>
      </c>
      <c r="B42" s="4" t="s">
        <v>196</v>
      </c>
      <c r="C42" s="4" t="s">
        <v>129</v>
      </c>
    </row>
    <row r="43" customFormat="false" ht="15" hidden="false" customHeight="false" outlineLevel="0" collapsed="false">
      <c r="A43" s="0" t="s">
        <v>197</v>
      </c>
      <c r="B43" s="6" t="s">
        <v>170</v>
      </c>
      <c r="C43" s="5" t="str">
        <f aca="false">IF(B43="","Incomplete",IF(OR(B43="NO",B43="Unknown"),"Fail","Pass"))</f>
        <v>Fail</v>
      </c>
    </row>
    <row r="44" customFormat="false" ht="15" hidden="false" customHeight="false" outlineLevel="0" collapsed="false">
      <c r="A44" s="0" t="s">
        <v>198</v>
      </c>
      <c r="B44" s="6" t="s">
        <v>170</v>
      </c>
      <c r="C44" s="5" t="str">
        <f aca="false">IF(B44="","Incomplete",IF(OR(B44="NO",B44="Unknown"),"Fail","Pass"))</f>
        <v>Fail</v>
      </c>
    </row>
    <row r="45" customFormat="false" ht="15" hidden="false" customHeight="false" outlineLevel="0" collapsed="false">
      <c r="A45" s="0" t="s">
        <v>199</v>
      </c>
      <c r="B45" s="6" t="s">
        <v>170</v>
      </c>
      <c r="C45" s="5" t="str">
        <f aca="false">IF(B45="","Incomplete",IF(OR(B45="NO",B45="Unknown"),"Fail","Pass"))</f>
        <v>Fail</v>
      </c>
    </row>
    <row r="46" customFormat="false" ht="15" hidden="false" customHeight="false" outlineLevel="0" collapsed="false">
      <c r="A46" s="0" t="s">
        <v>200</v>
      </c>
      <c r="B46" s="6" t="s">
        <v>170</v>
      </c>
      <c r="C46" s="5" t="str">
        <f aca="false">IF(B46="","Incomplete",IF(OR(B46="NO",B46="Unknown"),"Fail","Pass"))</f>
        <v>Fail</v>
      </c>
    </row>
    <row r="49" customFormat="false" ht="15" hidden="false" customHeight="false" outlineLevel="0" collapsed="false">
      <c r="A49" s="7" t="s">
        <v>201</v>
      </c>
    </row>
    <row r="50" customFormat="false" ht="15" hidden="false" customHeight="false" outlineLevel="0" collapsed="false">
      <c r="A50" s="0" t="s">
        <v>202</v>
      </c>
      <c r="B50" s="5" t="str">
        <f aca="false">IF(COUNTIF(C5:C9,"Fail")&gt;0,"Fail",IF(COUNTIF(C5:C9,"Incomplete")&gt;0,"Incomplete","Pass"))</f>
        <v>Fail</v>
      </c>
    </row>
    <row r="51" customFormat="false" ht="15" hidden="false" customHeight="false" outlineLevel="0" collapsed="false">
      <c r="A51" s="0" t="s">
        <v>203</v>
      </c>
      <c r="B51" s="5" t="str">
        <f aca="false">IF(COUNTIF(C12:C15,"Fail")&gt;0,"Fail",IF(COUNTIF(C12:C15,"Incomplete")&gt;0,"Incomplete","Pass"))</f>
        <v>Fail</v>
      </c>
    </row>
    <row r="52" customFormat="false" ht="15" hidden="false" customHeight="false" outlineLevel="0" collapsed="false">
      <c r="A52" s="0" t="s">
        <v>204</v>
      </c>
      <c r="B52" s="5" t="str">
        <f aca="false">IF(COUNT(B20:B26)=0,"",ROUND(AVERAGE(B20:B26),1))</f>
        <v/>
      </c>
    </row>
    <row r="53" customFormat="false" ht="15" hidden="false" customHeight="false" outlineLevel="0" collapsed="false">
      <c r="A53" s="0" t="s">
        <v>205</v>
      </c>
      <c r="B53" s="5" t="str">
        <f aca="false">IF(B52="","",IF(B52&gt;=3.5,"Pass","Fail"))</f>
        <v/>
      </c>
    </row>
    <row r="54" customFormat="false" ht="15" hidden="false" customHeight="false" outlineLevel="0" collapsed="false">
      <c r="A54" s="0" t="s">
        <v>206</v>
      </c>
      <c r="B54" s="5" t="str">
        <f aca="false">IF(AND(C39&gt;8,C37&lt;5),"YES — pause acquisition","NO")</f>
        <v>NO</v>
      </c>
    </row>
    <row r="55" customFormat="false" ht="15" hidden="false" customHeight="false" outlineLevel="0" collapsed="false">
      <c r="A55" s="7" t="s">
        <v>207</v>
      </c>
      <c r="B55" s="5" t="str">
        <f aca="false">IF(OR(B50="Fail",B51="Fail",B53="Fail",B54="YES — pause acquisition"),"NOT YET","Review — may proceed to active search")</f>
        <v>NOT YET</v>
      </c>
    </row>
  </sheetData>
  <dataValidations count="7">
    <dataValidation allowBlank="true" errorStyle="stop" operator="between" showDropDown="false" showErrorMessage="false" showInputMessage="false" sqref="B7" type="list">
      <formula1>"YES,NO,Unknown"</formula1>
      <formula2>0</formula2>
    </dataValidation>
    <dataValidation allowBlank="true" errorStyle="stop" operator="between" showDropDown="false" showErrorMessage="false" showInputMessage="false" sqref="B9" type="list">
      <formula1>"YES,NO,Unknown"</formula1>
      <formula2>0</formula2>
    </dataValidation>
    <dataValidation allowBlank="true" errorStyle="stop" operator="between" showDropDown="false" showErrorMessage="false" showInputMessage="false" sqref="B20:B26" type="whole">
      <formula1>1</formula1>
      <formula2>5</formula2>
    </dataValidation>
    <dataValidation allowBlank="true" errorStyle="stop" operator="between" showDropDown="false" showErrorMessage="false" showInputMessage="false" sqref="B43" type="list">
      <formula1>"YES,NO,Unknown"</formula1>
      <formula2>0</formula2>
    </dataValidation>
    <dataValidation allowBlank="true" errorStyle="stop" operator="between" showDropDown="false" showErrorMessage="false" showInputMessage="false" sqref="B44" type="list">
      <formula1>"YES,NO,Unknown"</formula1>
      <formula2>0</formula2>
    </dataValidation>
    <dataValidation allowBlank="true" errorStyle="stop" operator="between" showDropDown="false" showErrorMessage="false" showInputMessage="false" sqref="B45" type="list">
      <formula1>"YES,NO,Unknown"</formula1>
      <formula2>0</formula2>
    </dataValidation>
    <dataValidation allowBlank="true" errorStyle="stop" operator="between" showDropDown="false" showErrorMessage="false" showInputMessage="false" sqref="B46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4" min="3" style="0" width="14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4" t="s">
        <v>208</v>
      </c>
      <c r="B1" s="4" t="s">
        <v>209</v>
      </c>
      <c r="C1" s="4" t="s">
        <v>210</v>
      </c>
      <c r="D1" s="4" t="s">
        <v>211</v>
      </c>
      <c r="E1" s="4" t="s">
        <v>35</v>
      </c>
      <c r="F1" s="4" t="s">
        <v>212</v>
      </c>
      <c r="G1" s="4" t="s">
        <v>213</v>
      </c>
      <c r="H1" s="4" t="s">
        <v>214</v>
      </c>
      <c r="I1" s="4" t="s">
        <v>215</v>
      </c>
      <c r="J1" s="4" t="s">
        <v>216</v>
      </c>
      <c r="K1" s="4" t="s">
        <v>140</v>
      </c>
      <c r="L1" s="4" t="s">
        <v>217</v>
      </c>
      <c r="M1" s="4" t="s">
        <v>46</v>
      </c>
      <c r="N1" s="4" t="s">
        <v>218</v>
      </c>
    </row>
    <row r="2" customFormat="false" ht="15" hidden="false" customHeight="false" outlineLevel="0" collapsed="false">
      <c r="A2" s="0" t="s">
        <v>219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0" t="s">
        <v>220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customFormat="false" ht="15" hidden="false" customHeight="false" outlineLevel="0" collapsed="false">
      <c r="A4" s="0" t="s">
        <v>221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15" hidden="false" customHeight="false" outlineLevel="0" collapsed="false">
      <c r="A5" s="0" t="s">
        <v>222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A6" s="0" t="s">
        <v>223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</sheetData>
  <dataValidations count="5">
    <dataValidation allowBlank="true" errorStyle="stop" operator="between" showDropDown="false" showErrorMessage="false" showInputMessage="false" sqref="L2" type="list">
      <formula1>"New,Screening,Diligence,LOI,Closed-Won,Passed,Killed"</formula1>
      <formula2>0</formula2>
    </dataValidation>
    <dataValidation allowBlank="true" errorStyle="stop" operator="between" showDropDown="false" showErrorMessage="false" showInputMessage="false" sqref="L3" type="list">
      <formula1>"New,Screening,Diligence,LOI,Closed-Won,Passed,Killed"</formula1>
      <formula2>0</formula2>
    </dataValidation>
    <dataValidation allowBlank="true" errorStyle="stop" operator="between" showDropDown="false" showErrorMessage="false" showInputMessage="false" sqref="L4" type="list">
      <formula1>"New,Screening,Diligence,LOI,Closed-Won,Passed,Killed"</formula1>
      <formula2>0</formula2>
    </dataValidation>
    <dataValidation allowBlank="true" errorStyle="stop" operator="between" showDropDown="false" showErrorMessage="false" showInputMessage="false" sqref="L5" type="list">
      <formula1>"New,Screening,Diligence,LOI,Closed-Won,Passed,Killed"</formula1>
      <formula2>0</formula2>
    </dataValidation>
    <dataValidation allowBlank="true" errorStyle="stop" operator="between" showDropDown="false" showErrorMessage="false" showInputMessage="false" sqref="L6" type="list">
      <formula1>"New,Screening,Diligence,LOI,Closed-Won,Passed,Killed"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9" min="9" style="0" width="12"/>
    <col collapsed="false" customWidth="true" hidden="false" outlineLevel="0" max="16" min="15" style="0" width="12"/>
    <col collapsed="false" customWidth="true" hidden="false" outlineLevel="0" max="18" min="17" style="0" width="10"/>
  </cols>
  <sheetData>
    <row r="1" customFormat="false" ht="52.2" hidden="false" customHeight="false" outlineLevel="0" collapsed="false">
      <c r="A1" s="4" t="s">
        <v>208</v>
      </c>
      <c r="B1" s="4" t="s">
        <v>209</v>
      </c>
      <c r="C1" s="4" t="s">
        <v>224</v>
      </c>
      <c r="D1" s="4" t="s">
        <v>225</v>
      </c>
      <c r="E1" s="4" t="s">
        <v>226</v>
      </c>
      <c r="F1" s="4" t="s">
        <v>227</v>
      </c>
      <c r="G1" s="4" t="s">
        <v>228</v>
      </c>
      <c r="H1" s="4" t="s">
        <v>229</v>
      </c>
      <c r="I1" s="4" t="s">
        <v>230</v>
      </c>
      <c r="J1" s="4" t="s">
        <v>231</v>
      </c>
      <c r="K1" s="4" t="s">
        <v>232</v>
      </c>
      <c r="L1" s="4" t="s">
        <v>233</v>
      </c>
      <c r="M1" s="4" t="s">
        <v>202</v>
      </c>
      <c r="N1" s="4" t="s">
        <v>234</v>
      </c>
      <c r="O1" s="4" t="s">
        <v>235</v>
      </c>
      <c r="P1" s="4" t="s">
        <v>236</v>
      </c>
      <c r="Q1" s="4" t="s">
        <v>237</v>
      </c>
      <c r="R1" s="4" t="s">
        <v>238</v>
      </c>
    </row>
    <row r="2" customFormat="false" ht="15" hidden="true" customHeight="false" outlineLevel="0" collapsed="false">
      <c r="B2" s="0" t="s">
        <v>239</v>
      </c>
      <c r="C2" s="0" t="n">
        <v>0.25</v>
      </c>
      <c r="D2" s="0" t="n">
        <v>0.2</v>
      </c>
      <c r="E2" s="0" t="n">
        <v>0.25</v>
      </c>
      <c r="F2" s="0" t="n">
        <v>0.15</v>
      </c>
      <c r="G2" s="0" t="n">
        <v>0.1</v>
      </c>
      <c r="H2" s="0" t="n">
        <v>0.05</v>
      </c>
    </row>
    <row r="3" customFormat="false" ht="15" hidden="false" customHeight="false" outlineLevel="0" collapsed="false">
      <c r="A3" s="0" t="s">
        <v>219</v>
      </c>
      <c r="B3" s="6"/>
      <c r="C3" s="6"/>
      <c r="D3" s="6"/>
      <c r="E3" s="6"/>
      <c r="F3" s="6"/>
      <c r="G3" s="6"/>
      <c r="H3" s="6"/>
      <c r="I3" s="10" t="str">
        <f aca="false">IF(COUNT(C3:H3)&lt;6,"",ROUND(SUMPRODUCT(C3:H3,$C$2:$H$2)/SUM($C$2:$H$2),2))</f>
        <v/>
      </c>
      <c r="J3" s="6"/>
      <c r="K3" s="6"/>
      <c r="L3" s="6"/>
      <c r="M3" s="6"/>
      <c r="N3" s="6"/>
      <c r="O3" s="5" t="n">
        <f aca="false">06_Business_Risk_Diligence!V3</f>
        <v>0</v>
      </c>
      <c r="P3" s="5" t="str">
        <f aca="false">IF(COUNTIF(J3:N3,"NO")&gt;0,"NO","YES")</f>
        <v>YES</v>
      </c>
      <c r="Q3" s="5" t="str">
        <f aca="false">IF(OR(N3="YES",O3&gt;=3,M3="NO"),"YES","NO")</f>
        <v>NO</v>
      </c>
      <c r="R3" s="5" t="str">
        <f aca="false">IF(AND(I3&gt;=3.5,P3="YES",Q3="NO"),"Pursue",IF(OR(I3&lt;2.5,Q3="YES"),"Kill","Watch"))</f>
        <v>Pursue</v>
      </c>
    </row>
    <row r="4" customFormat="false" ht="15" hidden="false" customHeight="false" outlineLevel="0" collapsed="false">
      <c r="A4" s="0" t="s">
        <v>220</v>
      </c>
      <c r="B4" s="6"/>
      <c r="C4" s="6"/>
      <c r="D4" s="6"/>
      <c r="E4" s="6"/>
      <c r="F4" s="6"/>
      <c r="G4" s="6"/>
      <c r="H4" s="6"/>
      <c r="I4" s="10" t="str">
        <f aca="false">IF(COUNT(C4:H4)&lt;6,"",ROUND(SUMPRODUCT(C4:H4,$C$2:$H$2)/SUM($C$2:$H$2),2))</f>
        <v/>
      </c>
      <c r="J4" s="6"/>
      <c r="K4" s="6"/>
      <c r="L4" s="6"/>
      <c r="M4" s="6"/>
      <c r="N4" s="6"/>
      <c r="O4" s="5" t="n">
        <f aca="false">06_Business_Risk_Diligence!V4</f>
        <v>0</v>
      </c>
      <c r="P4" s="5" t="str">
        <f aca="false">IF(COUNTIF(J4:N4,"NO")&gt;0,"NO","YES")</f>
        <v>YES</v>
      </c>
      <c r="Q4" s="5" t="str">
        <f aca="false">IF(OR(N4="YES",O4&gt;=3,M4="NO"),"YES","NO")</f>
        <v>NO</v>
      </c>
      <c r="R4" s="5" t="str">
        <f aca="false">IF(AND(I4&gt;=3.5,P4="YES",Q4="NO"),"Pursue",IF(OR(I4&lt;2.5,Q4="YES"),"Kill","Watch"))</f>
        <v>Pursue</v>
      </c>
    </row>
    <row r="5" customFormat="false" ht="15" hidden="false" customHeight="false" outlineLevel="0" collapsed="false">
      <c r="A5" s="0" t="s">
        <v>221</v>
      </c>
      <c r="B5" s="6"/>
      <c r="C5" s="6"/>
      <c r="D5" s="6"/>
      <c r="E5" s="6"/>
      <c r="F5" s="6"/>
      <c r="G5" s="6"/>
      <c r="H5" s="6"/>
      <c r="I5" s="10" t="str">
        <f aca="false">IF(COUNT(C5:H5)&lt;6,"",ROUND(SUMPRODUCT(C5:H5,$C$2:$H$2)/SUM($C$2:$H$2),2))</f>
        <v/>
      </c>
      <c r="J5" s="6"/>
      <c r="K5" s="6"/>
      <c r="L5" s="6"/>
      <c r="M5" s="6"/>
      <c r="N5" s="6"/>
      <c r="O5" s="5" t="n">
        <f aca="false">06_Business_Risk_Diligence!V5</f>
        <v>0</v>
      </c>
      <c r="P5" s="5" t="str">
        <f aca="false">IF(COUNTIF(J5:N5,"NO")&gt;0,"NO","YES")</f>
        <v>YES</v>
      </c>
      <c r="Q5" s="5" t="str">
        <f aca="false">IF(OR(N5="YES",O5&gt;=3,M5="NO"),"YES","NO")</f>
        <v>NO</v>
      </c>
      <c r="R5" s="5" t="str">
        <f aca="false">IF(AND(I5&gt;=3.5,P5="YES",Q5="NO"),"Pursue",IF(OR(I5&lt;2.5,Q5="YES"),"Kill","Watch"))</f>
        <v>Pursue</v>
      </c>
    </row>
    <row r="6" customFormat="false" ht="15" hidden="false" customHeight="false" outlineLevel="0" collapsed="false">
      <c r="A6" s="0" t="s">
        <v>222</v>
      </c>
      <c r="B6" s="6"/>
      <c r="C6" s="6"/>
      <c r="D6" s="6"/>
      <c r="E6" s="6"/>
      <c r="F6" s="6"/>
      <c r="G6" s="6"/>
      <c r="H6" s="6"/>
      <c r="I6" s="10" t="str">
        <f aca="false">IF(COUNT(C6:H6)&lt;6,"",ROUND(SUMPRODUCT(C6:H6,$C$2:$H$2)/SUM($C$2:$H$2),2))</f>
        <v/>
      </c>
      <c r="J6" s="6"/>
      <c r="K6" s="6"/>
      <c r="L6" s="6"/>
      <c r="M6" s="6"/>
      <c r="N6" s="6"/>
      <c r="O6" s="5" t="n">
        <f aca="false">06_Business_Risk_Diligence!V6</f>
        <v>0</v>
      </c>
      <c r="P6" s="5" t="str">
        <f aca="false">IF(COUNTIF(J6:N6,"NO")&gt;0,"NO","YES")</f>
        <v>YES</v>
      </c>
      <c r="Q6" s="5" t="str">
        <f aca="false">IF(OR(N6="YES",O6&gt;=3,M6="NO"),"YES","NO")</f>
        <v>NO</v>
      </c>
      <c r="R6" s="5" t="str">
        <f aca="false">IF(AND(I6&gt;=3.5,P6="YES",Q6="NO"),"Pursue",IF(OR(I6&lt;2.5,Q6="YES"),"Kill","Watch"))</f>
        <v>Pursue</v>
      </c>
    </row>
    <row r="7" customFormat="false" ht="15" hidden="false" customHeight="false" outlineLevel="0" collapsed="false">
      <c r="A7" s="0" t="s">
        <v>223</v>
      </c>
      <c r="B7" s="6"/>
      <c r="C7" s="6"/>
      <c r="D7" s="6"/>
      <c r="E7" s="6"/>
      <c r="F7" s="6"/>
      <c r="G7" s="6"/>
      <c r="H7" s="6"/>
      <c r="I7" s="10" t="str">
        <f aca="false">IF(COUNT(C7:H7)&lt;6,"",ROUND(SUMPRODUCT(C7:H7,$C$2:$H$2)/SUM($C$2:$H$2),2))</f>
        <v/>
      </c>
      <c r="J7" s="6"/>
      <c r="K7" s="6"/>
      <c r="L7" s="6"/>
      <c r="M7" s="6"/>
      <c r="N7" s="6"/>
      <c r="O7" s="5" t="n">
        <f aca="false">06_Business_Risk_Diligence!V7</f>
        <v>0</v>
      </c>
      <c r="P7" s="5" t="str">
        <f aca="false">IF(COUNTIF(J7:N7,"NO")&gt;0,"NO","YES")</f>
        <v>YES</v>
      </c>
      <c r="Q7" s="5" t="str">
        <f aca="false">IF(OR(N7="YES",O7&gt;=3,M7="NO"),"YES","NO")</f>
        <v>NO</v>
      </c>
      <c r="R7" s="5" t="str">
        <f aca="false">IF(AND(I7&gt;=3.5,P7="YES",Q7="NO"),"Pursue",IF(OR(I7&lt;2.5,Q7="YES"),"Kill","Watch"))</f>
        <v>Pursue</v>
      </c>
    </row>
  </sheetData>
  <dataValidations count="6">
    <dataValidation allowBlank="true" errorStyle="stop" operator="between" showDropDown="false" showErrorMessage="false" showInputMessage="false" sqref="C3:H7" type="whole">
      <formula1>1</formula1>
      <formula2>5</formula2>
    </dataValidation>
    <dataValidation allowBlank="true" errorStyle="stop" operator="between" showDropDown="false" showErrorMessage="false" showInputMessage="false" sqref="J3:N3" type="list">
      <formula1>"YES,NO,Unknown"</formula1>
      <formula2>0</formula2>
    </dataValidation>
    <dataValidation allowBlank="true" errorStyle="stop" operator="between" showDropDown="false" showErrorMessage="false" showInputMessage="false" sqref="J4:N4" type="list">
      <formula1>"YES,NO,Unknown"</formula1>
      <formula2>0</formula2>
    </dataValidation>
    <dataValidation allowBlank="true" errorStyle="stop" operator="between" showDropDown="false" showErrorMessage="false" showInputMessage="false" sqref="J5:N5" type="list">
      <formula1>"YES,NO,Unknown"</formula1>
      <formula2>0</formula2>
    </dataValidation>
    <dataValidation allowBlank="true" errorStyle="stop" operator="between" showDropDown="false" showErrorMessage="false" showInputMessage="false" sqref="J6:N6" type="list">
      <formula1>"YES,NO,Unknown"</formula1>
      <formula2>0</formula2>
    </dataValidation>
    <dataValidation allowBlank="true" errorStyle="stop" operator="between" showDropDown="false" showErrorMessage="false" showInputMessage="false" sqref="J7:N7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22" min="22" style="0" width="12"/>
    <col collapsed="false" customWidth="true" hidden="false" outlineLevel="0" max="23" min="23" style="0" width="10"/>
  </cols>
  <sheetData>
    <row r="1" customFormat="false" ht="102.95" hidden="false" customHeight="false" outlineLevel="0" collapsed="false">
      <c r="A1" s="4" t="s">
        <v>208</v>
      </c>
      <c r="B1" s="4" t="s">
        <v>209</v>
      </c>
      <c r="C1" s="4" t="s">
        <v>240</v>
      </c>
      <c r="D1" s="4" t="s">
        <v>241</v>
      </c>
      <c r="E1" s="4" t="s">
        <v>242</v>
      </c>
      <c r="F1" s="4" t="s">
        <v>243</v>
      </c>
      <c r="G1" s="4" t="s">
        <v>244</v>
      </c>
      <c r="H1" s="4" t="s">
        <v>245</v>
      </c>
      <c r="I1" s="4" t="s">
        <v>246</v>
      </c>
      <c r="J1" s="4" t="s">
        <v>247</v>
      </c>
      <c r="K1" s="4" t="s">
        <v>248</v>
      </c>
      <c r="L1" s="4" t="s">
        <v>249</v>
      </c>
      <c r="M1" s="4" t="s">
        <v>250</v>
      </c>
      <c r="N1" s="4" t="s">
        <v>251</v>
      </c>
      <c r="O1" s="4" t="s">
        <v>252</v>
      </c>
      <c r="P1" s="4" t="s">
        <v>253</v>
      </c>
      <c r="Q1" s="4" t="s">
        <v>254</v>
      </c>
      <c r="R1" s="4" t="s">
        <v>255</v>
      </c>
      <c r="S1" s="4" t="s">
        <v>256</v>
      </c>
      <c r="T1" s="4" t="s">
        <v>257</v>
      </c>
      <c r="U1" s="4" t="s">
        <v>258</v>
      </c>
      <c r="V1" s="4" t="s">
        <v>259</v>
      </c>
      <c r="W1" s="4" t="s">
        <v>260</v>
      </c>
      <c r="X1" s="4" t="s">
        <v>261</v>
      </c>
    </row>
    <row r="2" customFormat="false" ht="15" hidden="false" customHeight="false" outlineLevel="0" collapsed="false">
      <c r="A2" s="0" t="s">
        <v>219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5" t="n">
        <f aca="false">COUNTIF(C2:U2,"YES")</f>
        <v>0</v>
      </c>
      <c r="W2" s="5" t="str">
        <f aca="false">IF(V2&gt;=5,"High",IF(V2&gt;=2,"Medium","Low"))</f>
        <v>Low</v>
      </c>
    </row>
    <row r="3" customFormat="false" ht="15" hidden="false" customHeight="false" outlineLevel="0" collapsed="false">
      <c r="A3" s="0" t="s">
        <v>220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5" t="n">
        <f aca="false">COUNTIF(C3:U3,"YES")</f>
        <v>0</v>
      </c>
      <c r="W3" s="5" t="str">
        <f aca="false">IF(V3&gt;=5,"High",IF(V3&gt;=2,"Medium","Low"))</f>
        <v>Low</v>
      </c>
    </row>
    <row r="4" customFormat="false" ht="15" hidden="false" customHeight="false" outlineLevel="0" collapsed="false">
      <c r="A4" s="0" t="s">
        <v>221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5" t="n">
        <f aca="false">COUNTIF(C4:U4,"YES")</f>
        <v>0</v>
      </c>
      <c r="W4" s="5" t="str">
        <f aca="false">IF(V4&gt;=5,"High",IF(V4&gt;=2,"Medium","Low"))</f>
        <v>Low</v>
      </c>
    </row>
    <row r="5" customFormat="false" ht="15" hidden="false" customHeight="false" outlineLevel="0" collapsed="false">
      <c r="A5" s="0" t="s">
        <v>222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5" t="n">
        <f aca="false">COUNTIF(C5:U5,"YES")</f>
        <v>0</v>
      </c>
      <c r="W5" s="5" t="str">
        <f aca="false">IF(V5&gt;=5,"High",IF(V5&gt;=2,"Medium","Low"))</f>
        <v>Low</v>
      </c>
    </row>
    <row r="6" customFormat="false" ht="15" hidden="false" customHeight="false" outlineLevel="0" collapsed="false">
      <c r="A6" s="0" t="s">
        <v>223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5" t="n">
        <f aca="false">COUNTIF(C6:U6,"YES")</f>
        <v>0</v>
      </c>
      <c r="W6" s="5" t="str">
        <f aca="false">IF(V6&gt;=5,"High",IF(V6&gt;=2,"Medium","Low"))</f>
        <v>Low</v>
      </c>
    </row>
  </sheetData>
  <dataValidations count="95">
    <dataValidation allowBlank="true" errorStyle="stop" operator="between" showDropDown="false" showErrorMessage="false" showInputMessage="false" sqref="J3" type="list">
      <formula1>"YES,NO,Unknown"</formula1>
      <formula2>0</formula2>
    </dataValidation>
    <dataValidation allowBlank="true" errorStyle="stop" operator="between" showDropDown="false" showErrorMessage="false" showInputMessage="false" sqref="J4" type="list">
      <formula1>"YES,NO,Unknown"</formula1>
      <formula2>0</formula2>
    </dataValidation>
    <dataValidation allowBlank="true" errorStyle="stop" operator="between" showDropDown="false" showErrorMessage="false" showInputMessage="false" sqref="J5" type="list">
      <formula1>"YES,NO,Unknown"</formula1>
      <formula2>0</formula2>
    </dataValidation>
    <dataValidation allowBlank="true" errorStyle="stop" operator="between" showDropDown="false" showErrorMessage="false" showInputMessage="false" sqref="J6" type="list">
      <formula1>"YES,NO,Unknown"</formula1>
      <formula2>0</formula2>
    </dataValidation>
    <dataValidation allowBlank="true" errorStyle="stop" operator="between" showDropDown="false" showErrorMessage="false" showInputMessage="false" sqref="C2" type="list">
      <formula1>"YES,NO,Unknown"</formula1>
      <formula2>0</formula2>
    </dataValidation>
    <dataValidation allowBlank="true" errorStyle="stop" operator="between" showDropDown="false" showErrorMessage="false" showInputMessage="false" sqref="D2" type="list">
      <formula1>"YES,NO,Unknown"</formula1>
      <formula2>0</formula2>
    </dataValidation>
    <dataValidation allowBlank="true" errorStyle="stop" operator="between" showDropDown="false" showErrorMessage="false" showInputMessage="false" sqref="E2" type="list">
      <formula1>"YES,NO,Unknown"</formula1>
      <formula2>0</formula2>
    </dataValidation>
    <dataValidation allowBlank="true" errorStyle="stop" operator="between" showDropDown="false" showErrorMessage="false" showInputMessage="false" sqref="F2" type="list">
      <formula1>"YES,NO,Unknown"</formula1>
      <formula2>0</formula2>
    </dataValidation>
    <dataValidation allowBlank="true" errorStyle="stop" operator="between" showDropDown="false" showErrorMessage="false" showInputMessage="false" sqref="G2" type="list">
      <formula1>"YES,NO,Unknown"</formula1>
      <formula2>0</formula2>
    </dataValidation>
    <dataValidation allowBlank="true" errorStyle="stop" operator="between" showDropDown="false" showErrorMessage="false" showInputMessage="false" sqref="H2" type="list">
      <formula1>"YES,NO,Unknown"</formula1>
      <formula2>0</formula2>
    </dataValidation>
    <dataValidation allowBlank="true" errorStyle="stop" operator="between" showDropDown="false" showErrorMessage="false" showInputMessage="false" sqref="I2" type="list">
      <formula1>"YES,NO,Unknown"</formula1>
      <formula2>0</formula2>
    </dataValidation>
    <dataValidation allowBlank="true" errorStyle="stop" operator="between" showDropDown="false" showErrorMessage="false" showInputMessage="false" sqref="J2" type="list">
      <formula1>"YES,NO,Unknown"</formula1>
      <formula2>0</formula2>
    </dataValidation>
    <dataValidation allowBlank="true" errorStyle="stop" operator="between" showDropDown="false" showErrorMessage="false" showInputMessage="false" sqref="K2" type="list">
      <formula1>"YES,NO,Unknown"</formula1>
      <formula2>0</formula2>
    </dataValidation>
    <dataValidation allowBlank="true" errorStyle="stop" operator="between" showDropDown="false" showErrorMessage="false" showInputMessage="false" sqref="L2" type="list">
      <formula1>"YES,NO,Unknown"</formula1>
      <formula2>0</formula2>
    </dataValidation>
    <dataValidation allowBlank="true" errorStyle="stop" operator="between" showDropDown="false" showErrorMessage="false" showInputMessage="false" sqref="M2" type="list">
      <formula1>"YES,NO,Unknown"</formula1>
      <formula2>0</formula2>
    </dataValidation>
    <dataValidation allowBlank="true" errorStyle="stop" operator="between" showDropDown="false" showErrorMessage="false" showInputMessage="false" sqref="N2" type="list">
      <formula1>"YES,NO,Unknown"</formula1>
      <formula2>0</formula2>
    </dataValidation>
    <dataValidation allowBlank="true" errorStyle="stop" operator="between" showDropDown="false" showErrorMessage="false" showInputMessage="false" sqref="O2" type="list">
      <formula1>"YES,NO,Unknown"</formula1>
      <formula2>0</formula2>
    </dataValidation>
    <dataValidation allowBlank="true" errorStyle="stop" operator="between" showDropDown="false" showErrorMessage="false" showInputMessage="false" sqref="P2" type="list">
      <formula1>"YES,NO,Unknown"</formula1>
      <formula2>0</formula2>
    </dataValidation>
    <dataValidation allowBlank="true" errorStyle="stop" operator="between" showDropDown="false" showErrorMessage="false" showInputMessage="false" sqref="Q2" type="list">
      <formula1>"YES,NO,Unknown"</formula1>
      <formula2>0</formula2>
    </dataValidation>
    <dataValidation allowBlank="true" errorStyle="stop" operator="between" showDropDown="false" showErrorMessage="false" showInputMessage="false" sqref="R2" type="list">
      <formula1>"YES,NO,Unknown"</formula1>
      <formula2>0</formula2>
    </dataValidation>
    <dataValidation allowBlank="true" errorStyle="stop" operator="between" showDropDown="false" showErrorMessage="false" showInputMessage="false" sqref="S2" type="list">
      <formula1>"YES,NO,Unknown"</formula1>
      <formula2>0</formula2>
    </dataValidation>
    <dataValidation allowBlank="true" errorStyle="stop" operator="between" showDropDown="false" showErrorMessage="false" showInputMessage="false" sqref="T2" type="list">
      <formula1>"YES,NO,Unknown"</formula1>
      <formula2>0</formula2>
    </dataValidation>
    <dataValidation allowBlank="true" errorStyle="stop" operator="between" showDropDown="false" showErrorMessage="false" showInputMessage="false" sqref="U2" type="list">
      <formula1>"YES,NO,Unknown"</formula1>
      <formula2>0</formula2>
    </dataValidation>
    <dataValidation allowBlank="true" errorStyle="stop" operator="between" showDropDown="false" showErrorMessage="false" showInputMessage="false" sqref="C3" type="list">
      <formula1>"YES,NO,Unknown"</formula1>
      <formula2>0</formula2>
    </dataValidation>
    <dataValidation allowBlank="true" errorStyle="stop" operator="between" showDropDown="false" showErrorMessage="false" showInputMessage="false" sqref="D3" type="list">
      <formula1>"YES,NO,Unknown"</formula1>
      <formula2>0</formula2>
    </dataValidation>
    <dataValidation allowBlank="true" errorStyle="stop" operator="between" showDropDown="false" showErrorMessage="false" showInputMessage="false" sqref="E3" type="list">
      <formula1>"YES,NO,Unknown"</formula1>
      <formula2>0</formula2>
    </dataValidation>
    <dataValidation allowBlank="true" errorStyle="stop" operator="between" showDropDown="false" showErrorMessage="false" showInputMessage="false" sqref="F3" type="list">
      <formula1>"YES,NO,Unknown"</formula1>
      <formula2>0</formula2>
    </dataValidation>
    <dataValidation allowBlank="true" errorStyle="stop" operator="between" showDropDown="false" showErrorMessage="false" showInputMessage="false" sqref="G3" type="list">
      <formula1>"YES,NO,Unknown"</formula1>
      <formula2>0</formula2>
    </dataValidation>
    <dataValidation allowBlank="true" errorStyle="stop" operator="between" showDropDown="false" showErrorMessage="false" showInputMessage="false" sqref="H3" type="list">
      <formula1>"YES,NO,Unknown"</formula1>
      <formula2>0</formula2>
    </dataValidation>
    <dataValidation allowBlank="true" errorStyle="stop" operator="between" showDropDown="false" showErrorMessage="false" showInputMessage="false" sqref="I3" type="list">
      <formula1>"YES,NO,Unknown"</formula1>
      <formula2>0</formula2>
    </dataValidation>
    <dataValidation allowBlank="true" errorStyle="stop" operator="between" showDropDown="false" showErrorMessage="false" showInputMessage="false" sqref="K3" type="list">
      <formula1>"YES,NO,Unknown"</formula1>
      <formula2>0</formula2>
    </dataValidation>
    <dataValidation allowBlank="true" errorStyle="stop" operator="between" showDropDown="false" showErrorMessage="false" showInputMessage="false" sqref="L3" type="list">
      <formula1>"YES,NO,Unknown"</formula1>
      <formula2>0</formula2>
    </dataValidation>
    <dataValidation allowBlank="true" errorStyle="stop" operator="between" showDropDown="false" showErrorMessage="false" showInputMessage="false" sqref="M3" type="list">
      <formula1>"YES,NO,Unknown"</formula1>
      <formula2>0</formula2>
    </dataValidation>
    <dataValidation allowBlank="true" errorStyle="stop" operator="between" showDropDown="false" showErrorMessage="false" showInputMessage="false" sqref="N3" type="list">
      <formula1>"YES,NO,Unknown"</formula1>
      <formula2>0</formula2>
    </dataValidation>
    <dataValidation allowBlank="true" errorStyle="stop" operator="between" showDropDown="false" showErrorMessage="false" showInputMessage="false" sqref="O3" type="list">
      <formula1>"YES,NO,Unknown"</formula1>
      <formula2>0</formula2>
    </dataValidation>
    <dataValidation allowBlank="true" errorStyle="stop" operator="between" showDropDown="false" showErrorMessage="false" showInputMessage="false" sqref="P3" type="list">
      <formula1>"YES,NO,Unknown"</formula1>
      <formula2>0</formula2>
    </dataValidation>
    <dataValidation allowBlank="true" errorStyle="stop" operator="between" showDropDown="false" showErrorMessage="false" showInputMessage="false" sqref="Q3" type="list">
      <formula1>"YES,NO,Unknown"</formula1>
      <formula2>0</formula2>
    </dataValidation>
    <dataValidation allowBlank="true" errorStyle="stop" operator="between" showDropDown="false" showErrorMessage="false" showInputMessage="false" sqref="R3" type="list">
      <formula1>"YES,NO,Unknown"</formula1>
      <formula2>0</formula2>
    </dataValidation>
    <dataValidation allowBlank="true" errorStyle="stop" operator="between" showDropDown="false" showErrorMessage="false" showInputMessage="false" sqref="S3" type="list">
      <formula1>"YES,NO,Unknown"</formula1>
      <formula2>0</formula2>
    </dataValidation>
    <dataValidation allowBlank="true" errorStyle="stop" operator="between" showDropDown="false" showErrorMessage="false" showInputMessage="false" sqref="T3" type="list">
      <formula1>"YES,NO,Unknown"</formula1>
      <formula2>0</formula2>
    </dataValidation>
    <dataValidation allowBlank="true" errorStyle="stop" operator="between" showDropDown="false" showErrorMessage="false" showInputMessage="false" sqref="U3" type="list">
      <formula1>"YES,NO,Unknown"</formula1>
      <formula2>0</formula2>
    </dataValidation>
    <dataValidation allowBlank="true" errorStyle="stop" operator="between" showDropDown="false" showErrorMessage="false" showInputMessage="false" sqref="C4" type="list">
      <formula1>"YES,NO,Unknown"</formula1>
      <formula2>0</formula2>
    </dataValidation>
    <dataValidation allowBlank="true" errorStyle="stop" operator="between" showDropDown="false" showErrorMessage="false" showInputMessage="false" sqref="D4" type="list">
      <formula1>"YES,NO,Unknown"</formula1>
      <formula2>0</formula2>
    </dataValidation>
    <dataValidation allowBlank="true" errorStyle="stop" operator="between" showDropDown="false" showErrorMessage="false" showInputMessage="false" sqref="E4" type="list">
      <formula1>"YES,NO,Unknown"</formula1>
      <formula2>0</formula2>
    </dataValidation>
    <dataValidation allowBlank="true" errorStyle="stop" operator="between" showDropDown="false" showErrorMessage="false" showInputMessage="false" sqref="F4" type="list">
      <formula1>"YES,NO,Unknown"</formula1>
      <formula2>0</formula2>
    </dataValidation>
    <dataValidation allowBlank="true" errorStyle="stop" operator="between" showDropDown="false" showErrorMessage="false" showInputMessage="false" sqref="G4" type="list">
      <formula1>"YES,NO,Unknown"</formula1>
      <formula2>0</formula2>
    </dataValidation>
    <dataValidation allowBlank="true" errorStyle="stop" operator="between" showDropDown="false" showErrorMessage="false" showInputMessage="false" sqref="H4" type="list">
      <formula1>"YES,NO,Unknown"</formula1>
      <formula2>0</formula2>
    </dataValidation>
    <dataValidation allowBlank="true" errorStyle="stop" operator="between" showDropDown="false" showErrorMessage="false" showInputMessage="false" sqref="I4" type="list">
      <formula1>"YES,NO,Unknown"</formula1>
      <formula2>0</formula2>
    </dataValidation>
    <dataValidation allowBlank="true" errorStyle="stop" operator="between" showDropDown="false" showErrorMessage="false" showInputMessage="false" sqref="K4" type="list">
      <formula1>"YES,NO,Unknown"</formula1>
      <formula2>0</formula2>
    </dataValidation>
    <dataValidation allowBlank="true" errorStyle="stop" operator="between" showDropDown="false" showErrorMessage="false" showInputMessage="false" sqref="L4" type="list">
      <formula1>"YES,NO,Unknown"</formula1>
      <formula2>0</formula2>
    </dataValidation>
    <dataValidation allowBlank="true" errorStyle="stop" operator="between" showDropDown="false" showErrorMessage="false" showInputMessage="false" sqref="M4" type="list">
      <formula1>"YES,NO,Unknown"</formula1>
      <formula2>0</formula2>
    </dataValidation>
    <dataValidation allowBlank="true" errorStyle="stop" operator="between" showDropDown="false" showErrorMessage="false" showInputMessage="false" sqref="N4" type="list">
      <formula1>"YES,NO,Unknown"</formula1>
      <formula2>0</formula2>
    </dataValidation>
    <dataValidation allowBlank="true" errorStyle="stop" operator="between" showDropDown="false" showErrorMessage="false" showInputMessage="false" sqref="O4" type="list">
      <formula1>"YES,NO,Unknown"</formula1>
      <formula2>0</formula2>
    </dataValidation>
    <dataValidation allowBlank="true" errorStyle="stop" operator="between" showDropDown="false" showErrorMessage="false" showInputMessage="false" sqref="P4" type="list">
      <formula1>"YES,NO,Unknown"</formula1>
      <formula2>0</formula2>
    </dataValidation>
    <dataValidation allowBlank="true" errorStyle="stop" operator="between" showDropDown="false" showErrorMessage="false" showInputMessage="false" sqref="Q4" type="list">
      <formula1>"YES,NO,Unknown"</formula1>
      <formula2>0</formula2>
    </dataValidation>
    <dataValidation allowBlank="true" errorStyle="stop" operator="between" showDropDown="false" showErrorMessage="false" showInputMessage="false" sqref="R4" type="list">
      <formula1>"YES,NO,Unknown"</formula1>
      <formula2>0</formula2>
    </dataValidation>
    <dataValidation allowBlank="true" errorStyle="stop" operator="between" showDropDown="false" showErrorMessage="false" showInputMessage="false" sqref="S4" type="list">
      <formula1>"YES,NO,Unknown"</formula1>
      <formula2>0</formula2>
    </dataValidation>
    <dataValidation allowBlank="true" errorStyle="stop" operator="between" showDropDown="false" showErrorMessage="false" showInputMessage="false" sqref="T4" type="list">
      <formula1>"YES,NO,Unknown"</formula1>
      <formula2>0</formula2>
    </dataValidation>
    <dataValidation allowBlank="true" errorStyle="stop" operator="between" showDropDown="false" showErrorMessage="false" showInputMessage="false" sqref="U4" type="list">
      <formula1>"YES,NO,Unknown"</formula1>
      <formula2>0</formula2>
    </dataValidation>
    <dataValidation allowBlank="true" errorStyle="stop" operator="between" showDropDown="false" showErrorMessage="false" showInputMessage="false" sqref="C5" type="list">
      <formula1>"YES,NO,Unknown"</formula1>
      <formula2>0</formula2>
    </dataValidation>
    <dataValidation allowBlank="true" errorStyle="stop" operator="between" showDropDown="false" showErrorMessage="false" showInputMessage="false" sqref="D5" type="list">
      <formula1>"YES,NO,Unknown"</formula1>
      <formula2>0</formula2>
    </dataValidation>
    <dataValidation allowBlank="true" errorStyle="stop" operator="between" showDropDown="false" showErrorMessage="false" showInputMessage="false" sqref="E5" type="list">
      <formula1>"YES,NO,Unknown"</formula1>
      <formula2>0</formula2>
    </dataValidation>
    <dataValidation allowBlank="true" errorStyle="stop" operator="between" showDropDown="false" showErrorMessage="false" showInputMessage="false" sqref="F5" type="list">
      <formula1>"YES,NO,Unknown"</formula1>
      <formula2>0</formula2>
    </dataValidation>
    <dataValidation allowBlank="true" errorStyle="stop" operator="between" showDropDown="false" showErrorMessage="false" showInputMessage="false" sqref="G5" type="list">
      <formula1>"YES,NO,Unknown"</formula1>
      <formula2>0</formula2>
    </dataValidation>
    <dataValidation allowBlank="true" errorStyle="stop" operator="between" showDropDown="false" showErrorMessage="false" showInputMessage="false" sqref="H5" type="list">
      <formula1>"YES,NO,Unknown"</formula1>
      <formula2>0</formula2>
    </dataValidation>
    <dataValidation allowBlank="true" errorStyle="stop" operator="between" showDropDown="false" showErrorMessage="false" showInputMessage="false" sqref="I5" type="list">
      <formula1>"YES,NO,Unknown"</formula1>
      <formula2>0</formula2>
    </dataValidation>
    <dataValidation allowBlank="true" errorStyle="stop" operator="between" showDropDown="false" showErrorMessage="false" showInputMessage="false" sqref="K5" type="list">
      <formula1>"YES,NO,Unknown"</formula1>
      <formula2>0</formula2>
    </dataValidation>
    <dataValidation allowBlank="true" errorStyle="stop" operator="between" showDropDown="false" showErrorMessage="false" showInputMessage="false" sqref="L5" type="list">
      <formula1>"YES,NO,Unknown"</formula1>
      <formula2>0</formula2>
    </dataValidation>
    <dataValidation allowBlank="true" errorStyle="stop" operator="between" showDropDown="false" showErrorMessage="false" showInputMessage="false" sqref="M5" type="list">
      <formula1>"YES,NO,Unknown"</formula1>
      <formula2>0</formula2>
    </dataValidation>
    <dataValidation allowBlank="true" errorStyle="stop" operator="between" showDropDown="false" showErrorMessage="false" showInputMessage="false" sqref="N5" type="list">
      <formula1>"YES,NO,Unknown"</formula1>
      <formula2>0</formula2>
    </dataValidation>
    <dataValidation allowBlank="true" errorStyle="stop" operator="between" showDropDown="false" showErrorMessage="false" showInputMessage="false" sqref="O5" type="list">
      <formula1>"YES,NO,Unknown"</formula1>
      <formula2>0</formula2>
    </dataValidation>
    <dataValidation allowBlank="true" errorStyle="stop" operator="between" showDropDown="false" showErrorMessage="false" showInputMessage="false" sqref="P5" type="list">
      <formula1>"YES,NO,Unknown"</formula1>
      <formula2>0</formula2>
    </dataValidation>
    <dataValidation allowBlank="true" errorStyle="stop" operator="between" showDropDown="false" showErrorMessage="false" showInputMessage="false" sqref="Q5" type="list">
      <formula1>"YES,NO,Unknown"</formula1>
      <formula2>0</formula2>
    </dataValidation>
    <dataValidation allowBlank="true" errorStyle="stop" operator="between" showDropDown="false" showErrorMessage="false" showInputMessage="false" sqref="R5" type="list">
      <formula1>"YES,NO,Unknown"</formula1>
      <formula2>0</formula2>
    </dataValidation>
    <dataValidation allowBlank="true" errorStyle="stop" operator="between" showDropDown="false" showErrorMessage="false" showInputMessage="false" sqref="S5" type="list">
      <formula1>"YES,NO,Unknown"</formula1>
      <formula2>0</formula2>
    </dataValidation>
    <dataValidation allowBlank="true" errorStyle="stop" operator="between" showDropDown="false" showErrorMessage="false" showInputMessage="false" sqref="T5" type="list">
      <formula1>"YES,NO,Unknown"</formula1>
      <formula2>0</formula2>
    </dataValidation>
    <dataValidation allowBlank="true" errorStyle="stop" operator="between" showDropDown="false" showErrorMessage="false" showInputMessage="false" sqref="U5" type="list">
      <formula1>"YES,NO,Unknown"</formula1>
      <formula2>0</formula2>
    </dataValidation>
    <dataValidation allowBlank="true" errorStyle="stop" operator="between" showDropDown="false" showErrorMessage="false" showInputMessage="false" sqref="C6" type="list">
      <formula1>"YES,NO,Unknown"</formula1>
      <formula2>0</formula2>
    </dataValidation>
    <dataValidation allowBlank="true" errorStyle="stop" operator="between" showDropDown="false" showErrorMessage="false" showInputMessage="false" sqref="D6" type="list">
      <formula1>"YES,NO,Unknown"</formula1>
      <formula2>0</formula2>
    </dataValidation>
    <dataValidation allowBlank="true" errorStyle="stop" operator="between" showDropDown="false" showErrorMessage="false" showInputMessage="false" sqref="E6" type="list">
      <formula1>"YES,NO,Unknown"</formula1>
      <formula2>0</formula2>
    </dataValidation>
    <dataValidation allowBlank="true" errorStyle="stop" operator="between" showDropDown="false" showErrorMessage="false" showInputMessage="false" sqref="F6" type="list">
      <formula1>"YES,NO,Unknown"</formula1>
      <formula2>0</formula2>
    </dataValidation>
    <dataValidation allowBlank="true" errorStyle="stop" operator="between" showDropDown="false" showErrorMessage="false" showInputMessage="false" sqref="G6" type="list">
      <formula1>"YES,NO,Unknown"</formula1>
      <formula2>0</formula2>
    </dataValidation>
    <dataValidation allowBlank="true" errorStyle="stop" operator="between" showDropDown="false" showErrorMessage="false" showInputMessage="false" sqref="H6" type="list">
      <formula1>"YES,NO,Unknown"</formula1>
      <formula2>0</formula2>
    </dataValidation>
    <dataValidation allowBlank="true" errorStyle="stop" operator="between" showDropDown="false" showErrorMessage="false" showInputMessage="false" sqref="I6" type="list">
      <formula1>"YES,NO,Unknown"</formula1>
      <formula2>0</formula2>
    </dataValidation>
    <dataValidation allowBlank="true" errorStyle="stop" operator="between" showDropDown="false" showErrorMessage="false" showInputMessage="false" sqref="K6" type="list">
      <formula1>"YES,NO,Unknown"</formula1>
      <formula2>0</formula2>
    </dataValidation>
    <dataValidation allowBlank="true" errorStyle="stop" operator="between" showDropDown="false" showErrorMessage="false" showInputMessage="false" sqref="L6" type="list">
      <formula1>"YES,NO,Unknown"</formula1>
      <formula2>0</formula2>
    </dataValidation>
    <dataValidation allowBlank="true" errorStyle="stop" operator="between" showDropDown="false" showErrorMessage="false" showInputMessage="false" sqref="M6" type="list">
      <formula1>"YES,NO,Unknown"</formula1>
      <formula2>0</formula2>
    </dataValidation>
    <dataValidation allowBlank="true" errorStyle="stop" operator="between" showDropDown="false" showErrorMessage="false" showInputMessage="false" sqref="N6" type="list">
      <formula1>"YES,NO,Unknown"</formula1>
      <formula2>0</formula2>
    </dataValidation>
    <dataValidation allowBlank="true" errorStyle="stop" operator="between" showDropDown="false" showErrorMessage="false" showInputMessage="false" sqref="O6" type="list">
      <formula1>"YES,NO,Unknown"</formula1>
      <formula2>0</formula2>
    </dataValidation>
    <dataValidation allowBlank="true" errorStyle="stop" operator="between" showDropDown="false" showErrorMessage="false" showInputMessage="false" sqref="P6" type="list">
      <formula1>"YES,NO,Unknown"</formula1>
      <formula2>0</formula2>
    </dataValidation>
    <dataValidation allowBlank="true" errorStyle="stop" operator="between" showDropDown="false" showErrorMessage="false" showInputMessage="false" sqref="Q6" type="list">
      <formula1>"YES,NO,Unknown"</formula1>
      <formula2>0</formula2>
    </dataValidation>
    <dataValidation allowBlank="true" errorStyle="stop" operator="between" showDropDown="false" showErrorMessage="false" showInputMessage="false" sqref="R6" type="list">
      <formula1>"YES,NO,Unknown"</formula1>
      <formula2>0</formula2>
    </dataValidation>
    <dataValidation allowBlank="true" errorStyle="stop" operator="between" showDropDown="false" showErrorMessage="false" showInputMessage="false" sqref="S6" type="list">
      <formula1>"YES,NO,Unknown"</formula1>
      <formula2>0</formula2>
    </dataValidation>
    <dataValidation allowBlank="true" errorStyle="stop" operator="between" showDropDown="false" showErrorMessage="false" showInputMessage="false" sqref="T6" type="list">
      <formula1>"YES,NO,Unknown"</formula1>
      <formula2>0</formula2>
    </dataValidation>
    <dataValidation allowBlank="true" errorStyle="stop" operator="between" showDropDown="false" showErrorMessage="false" showInputMessage="false" sqref="U6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5" min="5" style="0" width="24"/>
    <col collapsed="false" customWidth="true" hidden="false" outlineLevel="0" max="7" min="6" style="0" width="36"/>
    <col collapsed="false" customWidth="true" hidden="false" outlineLevel="0" max="8" min="8" style="0" width="24"/>
    <col collapsed="false" customWidth="true" hidden="false" outlineLevel="0" max="11" min="11" style="0" width="12"/>
    <col collapsed="false" customWidth="true" hidden="false" outlineLevel="0" max="12" min="12" style="0" width="24"/>
  </cols>
  <sheetData>
    <row r="1" customFormat="false" ht="77.6" hidden="false" customHeight="false" outlineLevel="0" collapsed="false">
      <c r="A1" s="4" t="s">
        <v>208</v>
      </c>
      <c r="B1" s="4" t="s">
        <v>209</v>
      </c>
      <c r="C1" s="4" t="s">
        <v>262</v>
      </c>
      <c r="D1" s="4" t="s">
        <v>211</v>
      </c>
      <c r="E1" s="4" t="s">
        <v>263</v>
      </c>
      <c r="F1" s="4" t="s">
        <v>264</v>
      </c>
      <c r="G1" s="4" t="s">
        <v>265</v>
      </c>
      <c r="H1" s="4" t="s">
        <v>266</v>
      </c>
      <c r="I1" s="4" t="s">
        <v>267</v>
      </c>
      <c r="J1" s="4" t="s">
        <v>268</v>
      </c>
      <c r="K1" s="4" t="s">
        <v>238</v>
      </c>
      <c r="L1" s="4" t="s">
        <v>269</v>
      </c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26.85" hidden="false" customHeight="false" outlineLevel="0" collapsed="false">
      <c r="A1" s="4" t="s">
        <v>270</v>
      </c>
      <c r="B1" s="4" t="s">
        <v>271</v>
      </c>
      <c r="C1" s="4" t="s">
        <v>272</v>
      </c>
      <c r="D1" s="4" t="s">
        <v>273</v>
      </c>
      <c r="E1" s="4" t="s">
        <v>274</v>
      </c>
      <c r="F1" s="4" t="s">
        <v>275</v>
      </c>
    </row>
    <row r="2" customFormat="false" ht="15" hidden="false" customHeight="false" outlineLevel="0" collapsed="false">
      <c r="A2" s="6"/>
      <c r="B2" s="6"/>
      <c r="C2" s="6"/>
      <c r="E2" s="5" t="n">
        <f aca="false">SUM(B2:D2)</f>
        <v>0</v>
      </c>
      <c r="F2" s="5" t="str">
        <f aca="false">IF(AND(D2&gt;8,B2&lt;5),"YES — pause acquisition","NO")</f>
        <v>NO</v>
      </c>
    </row>
    <row r="3" customFormat="false" ht="15" hidden="false" customHeight="false" outlineLevel="0" collapsed="false">
      <c r="A3" s="6"/>
      <c r="B3" s="6"/>
      <c r="C3" s="6"/>
      <c r="E3" s="5" t="n">
        <f aca="false">SUM(B3:D3)</f>
        <v>0</v>
      </c>
      <c r="F3" s="5" t="str">
        <f aca="false">IF(AND(D3&gt;8,B3&lt;5),"YES — pause acquisition","NO")</f>
        <v>NO</v>
      </c>
    </row>
    <row r="4" customFormat="false" ht="15" hidden="false" customHeight="false" outlineLevel="0" collapsed="false">
      <c r="A4" s="6"/>
      <c r="B4" s="6"/>
      <c r="C4" s="6"/>
      <c r="E4" s="5" t="n">
        <f aca="false">SUM(B4:D4)</f>
        <v>0</v>
      </c>
      <c r="F4" s="5" t="str">
        <f aca="false">IF(AND(D4&gt;8,B4&lt;5),"YES — pause acquisition","NO")</f>
        <v>NO</v>
      </c>
    </row>
    <row r="5" customFormat="false" ht="15" hidden="false" customHeight="false" outlineLevel="0" collapsed="false">
      <c r="A5" s="6"/>
      <c r="B5" s="6"/>
      <c r="C5" s="6"/>
      <c r="E5" s="5" t="n">
        <f aca="false">SUM(B5:D5)</f>
        <v>0</v>
      </c>
      <c r="F5" s="5" t="str">
        <f aca="false">IF(AND(D5&gt;8,B5&lt;5),"YES — pause acquisition","NO")</f>
        <v>NO</v>
      </c>
    </row>
    <row r="6" customFormat="false" ht="15" hidden="false" customHeight="false" outlineLevel="0" collapsed="false">
      <c r="A6" s="6"/>
      <c r="B6" s="6"/>
      <c r="C6" s="6"/>
      <c r="E6" s="5" t="n">
        <f aca="false">SUM(B6:D6)</f>
        <v>0</v>
      </c>
      <c r="F6" s="5" t="str">
        <f aca="false">IF(AND(D6&gt;8,B6&lt;5),"YES — pause acquisition","NO")</f>
        <v>NO</v>
      </c>
    </row>
    <row r="7" customFormat="false" ht="15" hidden="false" customHeight="false" outlineLevel="0" collapsed="false">
      <c r="A7" s="6"/>
      <c r="B7" s="6"/>
      <c r="C7" s="6"/>
      <c r="E7" s="5" t="n">
        <f aca="false">SUM(B7:D7)</f>
        <v>0</v>
      </c>
      <c r="F7" s="5" t="str">
        <f aca="false">IF(AND(D7&gt;8,B7&lt;5),"YES — pause acquisition","NO")</f>
        <v>NO</v>
      </c>
    </row>
    <row r="8" customFormat="false" ht="15" hidden="false" customHeight="false" outlineLevel="0" collapsed="false">
      <c r="A8" s="6"/>
      <c r="B8" s="6"/>
      <c r="C8" s="6"/>
      <c r="E8" s="5" t="n">
        <f aca="false">SUM(B8:D8)</f>
        <v>0</v>
      </c>
      <c r="F8" s="5" t="str">
        <f aca="false">IF(AND(D8&gt;8,B8&lt;5),"YES — pause acquisition","NO")</f>
        <v>NO</v>
      </c>
    </row>
    <row r="9" customFormat="false" ht="15" hidden="false" customHeight="false" outlineLevel="0" collapsed="false">
      <c r="A9" s="6"/>
      <c r="B9" s="6"/>
      <c r="C9" s="6"/>
      <c r="E9" s="5" t="n">
        <f aca="false">SUM(B9:D9)</f>
        <v>0</v>
      </c>
      <c r="F9" s="5" t="str">
        <f aca="false">IF(AND(D9&gt;8,B9&lt;5),"YES — pause acquisition","NO")</f>
        <v>NO</v>
      </c>
    </row>
    <row r="10" customFormat="false" ht="15" hidden="false" customHeight="false" outlineLevel="0" collapsed="false">
      <c r="A10" s="6"/>
      <c r="B10" s="6"/>
      <c r="C10" s="6"/>
      <c r="E10" s="5" t="n">
        <f aca="false">SUM(B10:D10)</f>
        <v>0</v>
      </c>
      <c r="F10" s="5" t="str">
        <f aca="false">IF(AND(D10&gt;8,B10&lt;5),"YES — pause acquisition","NO")</f>
        <v>NO</v>
      </c>
    </row>
    <row r="11" customFormat="false" ht="15" hidden="false" customHeight="false" outlineLevel="0" collapsed="false">
      <c r="A11" s="6"/>
      <c r="B11" s="6"/>
      <c r="C11" s="6"/>
      <c r="E11" s="5" t="n">
        <f aca="false">SUM(B11:D11)</f>
        <v>0</v>
      </c>
      <c r="F11" s="5" t="str">
        <f aca="false">IF(AND(D11&gt;8,B11&lt;5),"YES — pause acquisition","NO")</f>
        <v>NO</v>
      </c>
    </row>
    <row r="12" customFormat="false" ht="15" hidden="false" customHeight="false" outlineLevel="0" collapsed="false">
      <c r="A12" s="6"/>
      <c r="B12" s="6"/>
      <c r="C12" s="6"/>
      <c r="E12" s="5" t="n">
        <f aca="false">SUM(B12:D12)</f>
        <v>0</v>
      </c>
      <c r="F12" s="5" t="str">
        <f aca="false">IF(AND(D12&gt;8,B12&lt;5),"YES — pause acquisition","NO")</f>
        <v>NO</v>
      </c>
    </row>
    <row r="13" customFormat="false" ht="15" hidden="false" customHeight="false" outlineLevel="0" collapsed="false">
      <c r="A13" s="6"/>
      <c r="B13" s="6"/>
      <c r="C13" s="6"/>
      <c r="E13" s="5" t="n">
        <f aca="false">SUM(B13:D13)</f>
        <v>0</v>
      </c>
      <c r="F13" s="5" t="str">
        <f aca="false">IF(AND(D13&gt;8,B13&lt;5),"YES — pause acquisition","NO")</f>
        <v>NO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2"/>
  </cols>
  <sheetData>
    <row r="1" customFormat="false" ht="26.85" hidden="false" customHeight="false" outlineLevel="0" collapsed="false">
      <c r="A1" s="4" t="s">
        <v>262</v>
      </c>
      <c r="B1" s="4" t="s">
        <v>208</v>
      </c>
      <c r="C1" s="4" t="s">
        <v>209</v>
      </c>
      <c r="D1" s="4" t="s">
        <v>238</v>
      </c>
      <c r="E1" s="4" t="s">
        <v>230</v>
      </c>
      <c r="F1" s="4" t="s">
        <v>276</v>
      </c>
      <c r="G1" s="4" t="s">
        <v>269</v>
      </c>
      <c r="H1" s="4" t="s">
        <v>277</v>
      </c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A5" s="6"/>
      <c r="B5" s="6"/>
      <c r="C5" s="6"/>
      <c r="D5" s="6"/>
      <c r="E5" s="6"/>
      <c r="F5" s="6"/>
      <c r="G5" s="6"/>
      <c r="H5" s="6"/>
    </row>
    <row r="6" customFormat="false" ht="15" hidden="false" customHeight="false" outlineLevel="0" collapsed="false">
      <c r="A6" s="6"/>
      <c r="B6" s="6"/>
      <c r="C6" s="6"/>
      <c r="D6" s="6"/>
      <c r="E6" s="6"/>
      <c r="F6" s="6"/>
      <c r="G6" s="6"/>
      <c r="H6" s="6"/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6"/>
      <c r="H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</row>
  </sheetData>
  <dataValidations count="1">
    <dataValidation allowBlank="true" errorStyle="stop" operator="between" showDropDown="false" showErrorMessage="false" showInputMessage="false" sqref="D2:D21" type="list">
      <formula1>"Pursue,Watch,Pass,Kill,Parked"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2026-07-05T17:10:49Z</dcterms:created>
  <dc:creator>openpyxl</dc:creator>
  <dc:description/>
  <dc:language>en-CA</dc:language>
  <cp:lastModifiedBy/>
  <dcterms:modified xsi:type="dcterms:W3CDTF">2026-07-05T17:10:49Z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